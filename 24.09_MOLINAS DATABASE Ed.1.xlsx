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ABBE443B-8AE2-42F9-91F3-5B8C4C8DADB6}" xr6:coauthVersionLast="47" xr6:coauthVersionMax="47" xr10:uidLastSave="{00000000-0000-0000-0000-000000000000}"/>
  <bookViews>
    <workbookView xWindow="20370" yWindow="-120" windowWidth="20640" windowHeight="11040" activeTab="1" xr2:uid="{00000000-000D-0000-FFFF-FFFF00000000}"/>
  </bookViews>
  <sheets>
    <sheet name="DASHBOARD" sheetId="1" r:id="rId1"/>
    <sheet name="MoLINas Integrated Plan" sheetId="2" r:id="rId2"/>
    <sheet name="KRITERIA PRIORITAS (SCORING)" sheetId="3" r:id="rId3"/>
    <sheet name="DASAR STAKEHOLDER &amp; REGULASI" sheetId="4" r:id="rId4"/>
    <sheet name="USULAN &amp; PERBANDINGAN" sheetId="5" r:id="rId5"/>
    <sheet name="DATABASE BERITA" sheetId="6" r:id="rId6"/>
    <sheet name="PIC Contacts" sheetId="7" r:id="rId7"/>
  </sheets>
  <definedNames>
    <definedName name="_xlnm._FilterDatabase" localSheetId="1" hidden="1">'MoLINas Integrated Plan'!$A$5:$AO$40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AJo2Qi8GeVzkMHa9KoelsU3oU8e1957NyhSlfzvurOw="/>
    </ext>
  </extLst>
</workbook>
</file>

<file path=xl/calcChain.xml><?xml version="1.0" encoding="utf-8"?>
<calcChain xmlns="http://schemas.openxmlformats.org/spreadsheetml/2006/main">
  <c r="H37" i="2" l="1"/>
  <c r="I37" i="2" s="1"/>
  <c r="H36" i="2"/>
  <c r="I36" i="2" s="1"/>
  <c r="H35" i="2"/>
  <c r="I35" i="2" s="1"/>
  <c r="H34" i="2"/>
  <c r="I34" i="2" s="1"/>
  <c r="H33" i="2"/>
  <c r="I33" i="2" s="1"/>
  <c r="H32" i="2"/>
  <c r="I32" i="2" s="1"/>
  <c r="H31" i="2"/>
  <c r="I31" i="2" s="1"/>
  <c r="H30" i="2"/>
  <c r="I30" i="2" s="1"/>
  <c r="H29" i="2"/>
  <c r="I29" i="2" s="1"/>
  <c r="H28" i="2"/>
  <c r="I28" i="2" s="1"/>
  <c r="H27" i="2"/>
  <c r="I27" i="2" s="1"/>
  <c r="H26" i="2"/>
  <c r="I26" i="2" s="1"/>
  <c r="H25" i="2"/>
  <c r="I25" i="2" s="1"/>
  <c r="H24" i="2"/>
  <c r="I24" i="2" s="1"/>
  <c r="H23" i="2"/>
  <c r="I23" i="2" s="1"/>
  <c r="H22" i="2"/>
  <c r="I22" i="2" s="1"/>
  <c r="H21" i="2"/>
  <c r="I21" i="2" s="1"/>
  <c r="H20" i="2"/>
  <c r="I20" i="2" s="1"/>
  <c r="H19" i="2"/>
  <c r="I19" i="2" s="1"/>
  <c r="H18" i="2"/>
  <c r="I18" i="2" s="1"/>
  <c r="H17" i="2"/>
  <c r="I17" i="2" s="1"/>
  <c r="H16" i="2"/>
  <c r="I16" i="2" s="1"/>
  <c r="H15" i="2"/>
  <c r="I15" i="2" s="1"/>
  <c r="H14" i="2"/>
  <c r="I14" i="2" s="1"/>
  <c r="H13" i="2"/>
  <c r="I13" i="2" s="1"/>
  <c r="H12" i="2"/>
  <c r="I12" i="2" s="1"/>
  <c r="H11" i="2"/>
  <c r="I11" i="2" s="1"/>
  <c r="H10" i="2"/>
  <c r="I10" i="2" s="1"/>
  <c r="H9" i="2"/>
  <c r="I9" i="2" s="1"/>
  <c r="H8" i="2"/>
  <c r="I8" i="2" s="1"/>
  <c r="H7" i="2"/>
  <c r="I7" i="2" s="1"/>
  <c r="H6" i="2"/>
  <c r="I6" i="2" s="1"/>
  <c r="G50" i="1"/>
  <c r="F50" i="1"/>
  <c r="E50" i="1"/>
  <c r="D50" i="1"/>
  <c r="C50" i="1"/>
  <c r="B50" i="1"/>
  <c r="A50" i="1"/>
  <c r="G49" i="1"/>
  <c r="F49" i="1"/>
  <c r="E49" i="1"/>
  <c r="D49" i="1"/>
  <c r="C49" i="1"/>
  <c r="B49" i="1"/>
  <c r="A49" i="1"/>
  <c r="G48" i="1"/>
  <c r="F48" i="1"/>
  <c r="E48" i="1"/>
  <c r="D48" i="1"/>
  <c r="C48" i="1"/>
  <c r="B48" i="1"/>
  <c r="A48" i="1"/>
  <c r="G47" i="1"/>
  <c r="F47" i="1"/>
  <c r="E47" i="1"/>
  <c r="D47" i="1"/>
  <c r="C47" i="1"/>
  <c r="B47" i="1"/>
  <c r="A47" i="1"/>
  <c r="G46" i="1"/>
  <c r="F46" i="1"/>
  <c r="E46" i="1"/>
  <c r="D46" i="1"/>
  <c r="C46" i="1"/>
  <c r="B46" i="1"/>
  <c r="A46" i="1"/>
  <c r="J41" i="1"/>
  <c r="E41" i="1"/>
  <c r="A41" i="1"/>
  <c r="J40" i="1"/>
  <c r="E40" i="1"/>
  <c r="A40" i="1"/>
  <c r="J39" i="1"/>
  <c r="E39" i="1"/>
  <c r="A39" i="1"/>
  <c r="J38" i="1"/>
  <c r="E38" i="1"/>
  <c r="A38" i="1"/>
  <c r="J37" i="1"/>
  <c r="E37" i="1"/>
  <c r="A37" i="1"/>
  <c r="J36" i="1"/>
  <c r="E36" i="1"/>
  <c r="A36" i="1"/>
  <c r="J35" i="1"/>
  <c r="E35" i="1"/>
  <c r="A35" i="1"/>
  <c r="J34" i="1"/>
  <c r="E34" i="1"/>
  <c r="A34" i="1"/>
  <c r="J33" i="1"/>
  <c r="E33" i="1"/>
  <c r="A33" i="1"/>
  <c r="J32" i="1"/>
  <c r="E32" i="1"/>
  <c r="A32" i="1"/>
  <c r="J31" i="1"/>
  <c r="E31" i="1"/>
  <c r="A31" i="1"/>
  <c r="J30" i="1"/>
  <c r="E30" i="1"/>
  <c r="A30" i="1"/>
  <c r="E13" i="1"/>
  <c r="N12" i="1"/>
  <c r="L12" i="1"/>
  <c r="H12" i="1"/>
  <c r="E12" i="1"/>
  <c r="N11" i="1"/>
  <c r="L11" i="1"/>
  <c r="H11" i="1"/>
  <c r="E11" i="1"/>
  <c r="N10" i="1"/>
  <c r="L10" i="1"/>
  <c r="H10" i="1"/>
  <c r="E10" i="1"/>
  <c r="M5" i="1"/>
  <c r="J5" i="1"/>
  <c r="G5" i="1"/>
  <c r="A5" i="1"/>
  <c r="B12" i="1" l="1"/>
  <c r="D5" i="1"/>
  <c r="B11" i="1"/>
  <c r="B10" i="1"/>
  <c r="F5" i="1"/>
  <c r="E5" i="1"/>
</calcChain>
</file>

<file path=xl/sharedStrings.xml><?xml version="1.0" encoding="utf-8"?>
<sst xmlns="http://schemas.openxmlformats.org/spreadsheetml/2006/main" count="3274" uniqueCount="1721">
  <si>
    <t>MOLINAS – INTEGRATED STAKEHOLDER, REGULATORY, PIC &amp; GANTT SCHEDULE</t>
  </si>
  <si>
    <t>No</t>
  </si>
  <si>
    <t>KRITERIA PENILAIAN &amp; SCORING PRIORITAS WS2</t>
  </si>
  <si>
    <t>Stakeholder/Lembaga</t>
  </si>
  <si>
    <t>Regulasi</t>
  </si>
  <si>
    <t>Tentang</t>
  </si>
  <si>
    <t>Keterangan</t>
  </si>
  <si>
    <t>Kemenperin</t>
  </si>
  <si>
    <t>Penilaian menggunakan skala 1–5; setiap score dikalikan bobot kriteria untuk memperoleh Priority Score.</t>
  </si>
  <si>
    <t>Permenperin No. 6 Tahun 2022 jo. No. 28 Tahun 2023
(Ps. 2, 3, 4, 11, 11A, 12, 12A)</t>
  </si>
  <si>
    <t>Spesifikasi, Peta Jalan Pengembangan, dan Penghitungan Nilai TKDN KBLBB</t>
  </si>
  <si>
    <t>Mengatur spesifikasi KBLBB termasuk roda dua/tiga, peta jalan pengembangan industri, serta penghitungan nilai TKDN, struktur komponen, dan ketentuan baterai.</t>
  </si>
  <si>
    <t>Permenperin No. 29 Tahun 2023
(Ps. 2–5, 8–15, 18–20)</t>
  </si>
  <si>
    <t>KBLBB dalam Keadaan Terurai Lengkap dan Tidak Lengkap (CKD/IKD)</t>
  </si>
  <si>
    <t>Mengatur ketentuan impor KBLBB dalam bentuk CKD/IKD, kewajiban proses manufaktur dalam negeri, serta ketentuan perakitan, pengujian, pengendalian mutu, dan pelaporan.</t>
  </si>
  <si>
    <t>Priority Score = (Criticality × 30%) + (Program Dependency × 25%) + (Urgency × 25%) + (Breadth of Impact × 20%)</t>
  </si>
  <si>
    <t>Permenperin No. 35 Tahun 2025
(Ps. 4, 6, 9, 10, 39–45, 73)</t>
  </si>
  <si>
    <t>Ketentuan dan Tata Cara Sertifikasi TKDN dan BMP</t>
  </si>
  <si>
    <t>Mengatur tata cara penghitungan, verifikasi, sertifikasi, surveilans, dan pengawasan TKDN/BMP, termasuk integrasinya dengan ketentuan khusus KBLBB pada Pasal 73.</t>
  </si>
  <si>
    <t>Permenperin No. 37 Tahun 2025</t>
  </si>
  <si>
    <t>Standar Kegiatan Usaha dan Standar Produk/Jasa dalam Perizinan Berusaha Berbasis Risiko Sektor Perindustrian</t>
  </si>
  <si>
    <t>Mengatur standar kegiatan usaha dan standar produk/jasa sektor perindustrian sebagai dasar pemenuhan perizinan berusaha berbasis risiko.</t>
  </si>
  <si>
    <t>Permenperin No. 3 Tahun 2026</t>
  </si>
  <si>
    <t>Tata Cara Penerbitan Pertimbangan Teknis dalam rangka Pembebasan Bea Masuk</t>
  </si>
  <si>
    <t>Mengatur penerbitan dan verifikasi pertimbangan teknis serta fasilitas pembebasan Bea Masuk untuk mesin, barang, dan/atau bahan yang digunakan dalam pembangunan industri dan kegiatan R&amp;D.</t>
  </si>
  <si>
    <t>Permenperin No. 5 Tahun 2026</t>
  </si>
  <si>
    <t>Pusat Penyediaan Bahan Baku dan/atau Bahan Penolong</t>
  </si>
  <si>
    <t>Mengatur pusat penyediaan bahan baku dan/atau bahan penolong, termasuk ketentuan impor, verifikasi, serta monitoring untuk mendukung kelancaran pasokan industri.</t>
  </si>
  <si>
    <t>PHASE 0 (2026) Penetrasi Pasar &amp; Penetapan Komponen Utama</t>
  </si>
  <si>
    <t>Permenperin No. 6 Tahun 2023 jo. No. 21 Tahun 2023
(Ps. 3 dan ketentuan perubahan Permenperin No. 21/2023)</t>
  </si>
  <si>
    <t>Pedoman Pemberian Bantuan Pemerintah untuk Pembelian KBLBB Roda Dua</t>
  </si>
  <si>
    <t>Kriteria</t>
  </si>
  <si>
    <t>Mengatur pedoman pemberian bantuan pemerintah untuk pembelian KBLBB roda dua, termasuk kriteria penerima, mekanisme, dan pelaksanaan program.</t>
  </si>
  <si>
    <t>Permenperin No. 23 Tahun 2021 jo. No. 37 Tahun 2021</t>
  </si>
  <si>
    <t>Industri Kendaraan Bermotor Roda Empat atau Lebih</t>
  </si>
  <si>
    <t>Mengatur ketentuan industri dan manufaktur kendaraan bermotor roda empat atau lebih sebagai benchmark pengembangan industri, rantai pasok, dan peningkatan daya saing.</t>
  </si>
  <si>
    <t>Bobot</t>
  </si>
  <si>
    <t>Definisi Kriteria</t>
  </si>
  <si>
    <t>UU No. 3 Tahun 2014 tentang Perindustrian</t>
  </si>
  <si>
    <t>1 – Sangat Rendah</t>
  </si>
  <si>
    <t>Pembangunan dan pengembangan industri nasional</t>
  </si>
  <si>
    <t>2 – Rendah</t>
  </si>
  <si>
    <t>Menjadi dasar pengembangan industri dan manufaktur MOLINAS, termasuk peningkatan TKDN dan industri komponen</t>
  </si>
  <si>
    <t>3 – Menengah</t>
  </si>
  <si>
    <t>4 – Tinggi</t>
  </si>
  <si>
    <t>5 – Sangat Tinggi</t>
  </si>
  <si>
    <t>Criticality</t>
  </si>
  <si>
    <r>
      <rPr>
        <sz val="11"/>
        <color theme="1"/>
        <rFont val="Calibri"/>
      </rPr>
      <t>PP No. 28 Tahun 2023</t>
    </r>
    <r>
      <rPr>
        <sz val="11"/>
        <color theme="1"/>
        <rFont val="Calibri"/>
      </rPr>
      <t xml:space="preserve"> tentang Peraturan Pelaksanaan UU Perindustrian</t>
    </r>
  </si>
  <si>
    <t>Pelaksanaan pembangunan industri</t>
  </si>
  <si>
    <t>Mendukung industrialisasi MOLINAS, penguatan rantai pasok, teknologi, dan kapasitas produksi dalam negeri.</t>
  </si>
  <si>
    <t>STAKEHOLDER &amp; REGULATORY</t>
  </si>
  <si>
    <t>Mengukur tingkat keparahan konsekuensi apabila stakeholder/regulasi tidak tertangani terhadap keberhasilan program.</t>
  </si>
  <si>
    <t>Konsekuensi sangat terbatas; tidak memengaruhi aktivitas utama, milestone, atau target program dan dapat ditangani melalui proses rutin.</t>
  </si>
  <si>
    <t>Kemenhub</t>
  </si>
  <si>
    <t>Gangguan terbatas pada aktivitas tertentu; tidak berdampak signifikan terhadap milestone utama dan masih mudah dimitigasi.</t>
  </si>
  <si>
    <t>Dampak material pada satu atau beberapa aktivitas penting; membutuhkan koordinasi/mitigasi aktif, namun masih dapat dipulihkan.</t>
  </si>
  <si>
    <t>ENGAGEMENT &amp; GOVERNANCE</t>
  </si>
  <si>
    <t>Permenhub No. 87/2020 (Uji Tipe KBLBB)</t>
  </si>
  <si>
    <t>Mengatur pengujian tipe fisik Kendaraan Bermotor Listrik Berbasis Baterai (KBLBB).</t>
  </si>
  <si>
    <t>Menjadi dasar type approval/uji tipe kendaraan listrik yang harus dipenuhi produk MOLINAS sebelum dapat dioperasikan sesuai ketentuan transportasi jalan.</t>
  </si>
  <si>
    <t>Berpotensi mengganggu milestone kritis atau menimbulkan keterlambatan berantai; membutuhkan intervensi lintas pihak yang signifikan.</t>
  </si>
  <si>
    <t>UU No. 22 Tahun 2009 tentang Lalu Lintas dan Angkutan Jalan</t>
  </si>
  <si>
    <t>Mengatur penyelenggaraan lalu lintas dan angkutan jalan, termasuk persyaratan kendaraan bermotor, keselamatan, serta penggunaan kendaraan di jalan.</t>
  </si>
  <si>
    <t>Landasan legal kendaraan MOLINAS. Menjadi dasar agar kendaraan listrik yang dikembangkan dapat memenuhi persyaratan keselamatan, laik jalan, dan dapat digunakan secara legal di jalan umum.</t>
  </si>
  <si>
    <r>
      <rPr>
        <sz val="11"/>
        <color theme="1"/>
        <rFont val="Calibri"/>
      </rPr>
      <t>Permenhub No. 18 Tahun 2021</t>
    </r>
    <r>
      <rPr>
        <sz val="11"/>
        <color theme="1"/>
        <rFont val="Calibri"/>
      </rPr>
      <t xml:space="preserve"> tentang Pengujian Tipe Kendaraan Bermotor</t>
    </r>
  </si>
  <si>
    <t>Berpotensi menghentikan aktivitas fundamental, menggagalkan mandatory requirement/approval, atau menyebabkan target utama tidak tercapai; ruang recovery sangat terbatas.</t>
  </si>
  <si>
    <t>WEEKLY GANTT – 2026</t>
  </si>
  <si>
    <t>Dependency</t>
  </si>
  <si>
    <t>Mengukur tingkat ketergantungan program terhadap stakeholder/regulasi sebagai prasyarat untuk menjalankan atau melanjutkan tahapan berikutnya.</t>
  </si>
  <si>
    <t>Mengatur pengujian tipe kendaraan bermotor, yaitu proses memastikan kendaraan memenuhi persyaratan teknis dan laik jalan sebelum diproduksi/dipasarkan secara massal.</t>
  </si>
  <si>
    <t>Bukan prasyarat; aktivitas tetap dapat berjalan tanpa stakeholder/regulasi dan tersedia alternatif yang setara.</t>
  </si>
  <si>
    <t>Gatekeeper sebelum MOLINAS dipasarkan. Prototipe/produk MOLINAS perlu memenuhi persyaratan teknis dan pengujian tipe agar dapat diproduksi dan dioperasikan secara legal.</t>
  </si>
  <si>
    <t>Berperan sebagai supporting enabler; ketidakterlibatan masih dapat diatasi dengan alternatif dan penyesuaian kecil.</t>
  </si>
  <si>
    <t>Menjadi input/enabler penting; alternatif masih tersedia tetapi membutuhkan tambahan waktu, effort, atau koordinasi.</t>
  </si>
  <si>
    <t>Menjadi key prerequisite bagi milestone/tahapan berikutnya; alternatif terbatas dan keterlambatan berpotensi menahan progress.</t>
  </si>
  <si>
    <r>
      <rPr>
        <sz val="11"/>
        <color theme="1"/>
        <rFont val="Calibri"/>
      </rPr>
      <t>Permenhub No. 13 Tahun 2021</t>
    </r>
    <r>
      <rPr>
        <sz val="11"/>
        <color theme="1"/>
        <rFont val="Calibri"/>
      </rPr>
      <t xml:space="preserve"> tentang Registrasi dan Identifikasi Kendaraan Bermotor</t>
    </r>
  </si>
  <si>
    <t>Menjadi mandatory prerequisite/single point of dependency; tahapan berikutnya tidak dapat berjalan secara feasible tanpa pemenuhannya.</t>
  </si>
  <si>
    <t>Mengatur proses registrasi dan identifikasi kendaraan, termasuk penerbitan dokumen dan identitas kendaraan bermotor.</t>
  </si>
  <si>
    <t>Urgency</t>
  </si>
  <si>
    <t>Legalitas dan identitas MOLINAS. Setelah memenuhi persyaratan teknis, kendaraan MOLINAS perlu diregistrasikan dan diidentifikasi agar dapat memperoleh legalitas untuk beroperasi di jalan.</t>
  </si>
  <si>
    <t>Mengukur kebutuhan waktu untuk memulai engagement/tindak lanjut berdasarkan lead time, dependency, milestone, dan buffer menuju target akhir Desember.</t>
  </si>
  <si>
    <t>Belum membutuhkan engagement dalam waktu dekat; buffer sangat memadai dan penundaan tidak berdampak material.</t>
  </si>
  <si>
    <r>
      <rPr>
        <sz val="11"/>
        <color theme="1"/>
        <rFont val="Calibri"/>
      </rPr>
      <t>PP No. 55 Tahun 2012</t>
    </r>
    <r>
      <rPr>
        <sz val="11"/>
        <color theme="1"/>
        <rFont val="Calibri"/>
      </rPr>
      <t xml:space="preserve"> tentang Kendaraan</t>
    </r>
  </si>
  <si>
    <t>Engagement perlu dipersiapkan, namun masih tersedia fleksibilitas waktu dan buffer tanpa memengaruhi milestone utama.</t>
  </si>
  <si>
    <t>Mengatur persyaratan teknis dan laik jalan kendaraan, termasuk aspek konstruksi, perlengkapan, keselamatan, dan pengujian kendaraan.</t>
  </si>
  <si>
    <t>Engagement perlu dimulai dalam waktu dekat karena membutuhkan lead time tertentu; penundaan mulai mengurangi buffer penyelesaian.</t>
  </si>
  <si>
    <t>Standar teknis kendaraan MOLINAS. Menjadi salah satu dasar untuk memastikan desain dan spesifikasi kendaraan memenuhi ketentuan keselamatan dan kelayakan jalan.</t>
  </si>
  <si>
    <t>Engagement perlu segera diinisiasi karena lead time, dependency berurutan, atau milestone yang semakin berdekatan membuat ruang waktu terbatas.</t>
  </si>
  <si>
    <t>Memerlukan immediate prioritization; lead time kritis atau buffer sangat terbatas sehingga keterlambatan memulai berpotensi langsung mengancam target akhir Desember.</t>
  </si>
  <si>
    <t>Permenhub No. 86/2020</t>
  </si>
  <si>
    <t>Breadth of Impact</t>
  </si>
  <si>
    <t>Mengatur perubahan atas ketentuan pengujian tipe fisik kendaraan bermotor dengan motor penggerak menggunakan motor listrik.</t>
  </si>
  <si>
    <t>Mendukung kepastian persyaratan uji tipe kendaraan listrik dalam MOLINAS, khususnya pemenuhan aspek teknis dan keselamatan kendaraan.</t>
  </si>
  <si>
    <t>Mengukur luasnya tahapan, workstream, dan stakeholder yang terdampak apabila stakeholder/regulasi tidak tertangani.</t>
  </si>
  <si>
    <t>Dampak terbatas pada satu aktivitas atau satu stakeholder dan tidak memengaruhi proses lain secara berarti.</t>
  </si>
  <si>
    <t>Dampak mencakup beberapa aktivitas dalam satu tahapan/workstream, tetapi belum menyebar secara signifikan.</t>
  </si>
  <si>
    <t>Dampak meluas ke beberapa aktivitas atau lebih dari satu workstream dan membutuhkan koordinasi lintas pihak.</t>
  </si>
  <si>
    <t>Dampak mencakup beberapa tahapan rantai nilai dan berbagai stakeholder, dengan potensi gangguan/keterlambatan berantai.</t>
  </si>
  <si>
    <t>Dampak lintas tahapan, lintas fungsi, dan/atau lintas kelompok stakeholder; berpotensi menimbulkan cascading impact pada sebagian besar ekosistem.</t>
  </si>
  <si>
    <t>Kemenkeu</t>
  </si>
  <si>
    <t>UU No. 17/2006 jo. UU No. 10/1995 tentang Kepabeanan</t>
  </si>
  <si>
    <t>ANCHOR PENILAIAN</t>
  </si>
  <si>
    <t>Mengatur kepabeanan, termasuk impor-ekspor, bea masuk, pemeriksaan, pengawasan, dan prosedur kepabeanan.</t>
  </si>
  <si>
    <t>Menjadi dasar pengaturan arus impor-ekspor motor listrik, baterai, komponen, mesin, dan bahan baku yang diperlukan untuk membangun rantai pasok MOLINAS.</t>
  </si>
  <si>
    <t>PMK No. 12 tahun 2025 terkait insentif/fasilitas KBLBB (PPN, PPnBM)</t>
  </si>
  <si>
    <t>Mengatur fasilitas fiskal/insentif yang diberikan pemerintah sesuai objek, jenis kendaraan, dan skema kebijakan yang berlaku.</t>
  </si>
  <si>
    <t>Relevan untuk MOLINAS dalam mengidentifikasi dan memanfaatkan fasilitas fiskal yang dapat menurunkan biaya adopsi atau mendukung investasi kendaraan listrik sesuai persyaratan.</t>
  </si>
  <si>
    <t>AUGUST 2026</t>
  </si>
  <si>
    <t>SEPTEMBER 2026</t>
  </si>
  <si>
    <t>PMK No. 62 Tahun 2025 mengenai Bea Masuk</t>
  </si>
  <si>
    <t>Seberapa fatal konsekuensinya apabila stakeholder/isu tidak tertangani?</t>
  </si>
  <si>
    <t>Mengatur ketentuan tarif dan/atau pembebanan bea masuk atas barang impor.</t>
  </si>
  <si>
    <t>Mempengaruhi biaya impor komponen dan bahan baku kendaraan listrik, sehingga berdampak pada biaya produksi dan daya saing MOLINAS.</t>
  </si>
  <si>
    <t>PMK 176/PMK.011/2009 jo. PMK 76/2012 jo. PMK 188/PMK.011/2015</t>
  </si>
  <si>
    <t>Pembebasan Bea Masuk</t>
  </si>
  <si>
    <t>Pembebasan Bea Masuk atas impor mesin, barang, dan bahan untuk pembangunan serta pengembangan industri, termasuk perakitan dan komponen kendaraan.</t>
  </si>
  <si>
    <t>PMK 26/2022 s.t.d.d. PMK 50/2026</t>
  </si>
  <si>
    <t>Tarif Bea Masuk</t>
  </si>
  <si>
    <t>Klasifikasi barang &amp; pembebanan tarif</t>
  </si>
  <si>
    <t>OCTOBER 2026</t>
  </si>
  <si>
    <t>Program Dependency</t>
  </si>
  <si>
    <t>Seberapa essential stakeholder/regulasi tersebut agar tahapan berikutnya dapat berjalan?</t>
  </si>
  <si>
    <t>PMK 130/2020 jo. PMK 69/2024</t>
  </si>
  <si>
    <t>Tax Holiday</t>
  </si>
  <si>
    <t>Pengurangan PPh Badan industri pionir</t>
  </si>
  <si>
    <t>PP 78/2019 jo. PMK 81/2024 s.t.d.d. PMK 1/2026</t>
  </si>
  <si>
    <t>Tax Allowance</t>
  </si>
  <si>
    <t>Pengurangan PPh Badan atas investasi sektor tertentu</t>
  </si>
  <si>
    <t>Seberapa segera engagement/tindak lanjut perlu dimulai untuk menjaga timeline dan buffer?</t>
  </si>
  <si>
    <t>PMK 81/2024 s.t.d.d. PMK 1/2026</t>
  </si>
  <si>
    <t>NOVEMBER 2026</t>
  </si>
  <si>
    <t>Super Tax Deduction R&amp;D</t>
  </si>
  <si>
    <t>Seberapa luas tahapan, workstream, dan stakeholder yang terdampak?</t>
  </si>
  <si>
    <t>DECEMBER 2026</t>
  </si>
  <si>
    <t>Pengurangan bruto hingga 300%</t>
  </si>
  <si>
    <t>PMK 128/2019</t>
  </si>
  <si>
    <t>Super Tax Deduction SDM</t>
  </si>
  <si>
    <t>Pengurangan bruto hingga 200%</t>
  </si>
  <si>
    <t>STATUS</t>
  </si>
  <si>
    <t>PMK 38/2023 jo. PMK 116/2023</t>
  </si>
  <si>
    <t>PPN DTP</t>
  </si>
  <si>
    <t>KBLBB roda 4 &amp; bus tertentu – TA 2023</t>
  </si>
  <si>
    <t>PMK 8/2024</t>
  </si>
  <si>
    <t>KBLBB roda 4 &amp; bus tertentu – TA 2024</t>
  </si>
  <si>
    <t>PMK 9/2024</t>
  </si>
  <si>
    <t>PPnBM DTP</t>
  </si>
  <si>
    <t>Stakeholder / Lembaga</t>
  </si>
  <si>
    <t>KBLBB roda 4 tertentu – TA 2024</t>
  </si>
  <si>
    <t>Kategori / Isu Utama</t>
  </si>
  <si>
    <t>Criticality (1–5)</t>
  </si>
  <si>
    <t>PMK 135/2024</t>
  </si>
  <si>
    <t>KBLBB roda 4 tertentu – TA 2025</t>
  </si>
  <si>
    <t>Breadth of Impact (1–5)</t>
  </si>
  <si>
    <t>Dependency (1–5)</t>
  </si>
  <si>
    <t>PMK 12/2025</t>
  </si>
  <si>
    <t>Urgency (1–5)</t>
  </si>
  <si>
    <t>PPN/PPnBM DTP</t>
  </si>
  <si>
    <t>KBLBB roda 4/bus &amp; kendaraan tertentu – TA 2025</t>
  </si>
  <si>
    <t>Weighted Score</t>
  </si>
  <si>
    <t>Prioritas</t>
  </si>
  <si>
    <t>Domain Ekosistem</t>
  </si>
  <si>
    <t xml:space="preserve">Isu </t>
  </si>
  <si>
    <t>Contoh Regulasi Utama / Dasar</t>
  </si>
  <si>
    <t xml:space="preserve">Ruang Lingkup </t>
  </si>
  <si>
    <t>Terkait Tahap Ekosistem</t>
  </si>
  <si>
    <t>Agenda Engagement</t>
  </si>
  <si>
    <t>Bappenas (Pihak terkait: KPPII)</t>
  </si>
  <si>
    <t>Lead PIC (WS)</t>
  </si>
  <si>
    <t>Supporting PIC</t>
  </si>
  <si>
    <t>BOD Accountable</t>
  </si>
  <si>
    <t>PD/PMO</t>
  </si>
  <si>
    <t>Peran Danantara</t>
  </si>
  <si>
    <t>ALVA / Mitra</t>
  </si>
  <si>
    <t>Target Outcome</t>
  </si>
  <si>
    <t>PP No. 42/2021 (PSN)</t>
  </si>
  <si>
    <t>Mengatur kemudahan dan fasilitas dalam penyelenggaraan Proyek Strategis Nasional serta percepatan pembangunan proyek yang ditetapkan sebagai PSN.</t>
  </si>
  <si>
    <t>Agt W1</t>
  </si>
  <si>
    <t>Relevan apabila program/proyek MOLINAS ditetapkan atau dikaitkan dengan PSN, terutama untuk mendukung percepatan infrastruktur dan koordinasi lintas kementerian/lembaga.</t>
  </si>
  <si>
    <t>Permenko Perekonomian No. 20/2025 (Rencana &amp; evaluasi PSN)</t>
  </si>
  <si>
    <t>Sep W1</t>
  </si>
  <si>
    <t>Mengatur tata cara penyampaian usulan, verifikasi, evaluasi, penetapan, pemantauan, dan pelaporan perubahan daftar PSN.</t>
  </si>
  <si>
    <t>Relevan sebagai kerangka apabila proyek MOLINAS diusulkan/diintegrasikan dalam daftar PSN, termasuk proses evaluasi dan pemantauan proyek.</t>
  </si>
  <si>
    <t>Sep W2</t>
  </si>
  <si>
    <t>Sep W3</t>
  </si>
  <si>
    <t>Sep W4</t>
  </si>
  <si>
    <t>Regulasi terkait penugasan BUMN</t>
  </si>
  <si>
    <t>Mengatur penugasan BUMN sesuai mandat pemerintah dan ruang lingkup proyek/aktivitas yang ditugaskan.</t>
  </si>
  <si>
    <t>Relevan apabila BUMN diberi penugasan untuk manufaktur, baterai, charging, energi, atau infrastruktur MOLINAS; regulasi spesifik mengikuti BUMN dan proyek yang bersangkutan.</t>
  </si>
  <si>
    <t>Okt W1</t>
  </si>
  <si>
    <t>Okt W2</t>
  </si>
  <si>
    <t>Okt W3</t>
  </si>
  <si>
    <t>Okt W4</t>
  </si>
  <si>
    <t>Nov W1</t>
  </si>
  <si>
    <t>ESDM</t>
  </si>
  <si>
    <t>Nov W2</t>
  </si>
  <si>
    <t>Nov W3</t>
  </si>
  <si>
    <t>Nov W4</t>
  </si>
  <si>
    <t>Des W1</t>
  </si>
  <si>
    <t>UU No. 3 Tahun 2020 Pertambangan Mineral dan Batubara</t>
  </si>
  <si>
    <t>Mengatur kegiatan pertambangan mineral dan batubara, termasuk pengelolaan dan pemanfaatan mineral yang menjadi bahan baku industri.</t>
  </si>
  <si>
    <t>Hulu bahan baku MOLINAS. Relevan untuk menjamin ketersediaan mineral strategis yang dibutuhkan dalam rantai pasok kendaraan listrik, terutama nikel sebagai salah satu bahan baku penting industri baterai.</t>
  </si>
  <si>
    <t>Des W2</t>
  </si>
  <si>
    <t>Des W3</t>
  </si>
  <si>
    <r>
      <rPr>
        <sz val="11"/>
        <color theme="1"/>
        <rFont val="Calibri"/>
      </rPr>
      <t>PP No. 25 Tahun 2024</t>
    </r>
    <r>
      <rPr>
        <sz val="11"/>
        <color theme="1"/>
        <rFont val="Calibri"/>
      </rPr>
      <t xml:space="preserve"> tentang Pelaksanaan Kegiatan Usaha Pertambangan Mineral dan Batubara</t>
    </r>
  </si>
  <si>
    <t>Mengatur lebih lanjut pelaksanaan kegiatan usaha pertambangan mineral dan batubara, termasuk perizinan dan pengelolaan kegiatan pertambangan.</t>
  </si>
  <si>
    <t>Menjamin keberlanjutan pasokan bahan baku. Bagi MOLINAS, regulasi ini relevan pada sisi resource security, terutama jika pengembangan kendaraan nasional diarahkan untuk meningkatkan kandungan lokal dan membangun rantai pasok baterai domestik.</t>
  </si>
  <si>
    <t>Des W4</t>
  </si>
  <si>
    <r>
      <rPr>
        <sz val="11"/>
        <color theme="1"/>
        <rFont val="Calibri"/>
      </rPr>
      <t>UU No. 30 Tahun 2009</t>
    </r>
    <r>
      <rPr>
        <sz val="11"/>
        <color theme="1"/>
        <rFont val="Calibri"/>
      </rPr>
      <t xml:space="preserve"> tentang Ketenagalistrikan</t>
    </r>
  </si>
  <si>
    <t>Mengatur penyediaan, pemanfaatan, usaha, keselamatan, dan pengelolaan tenaga listrik.</t>
  </si>
  <si>
    <t>Fondasi ekosistem charging MOLINAS. Mobil listrik membutuhkan listrik sebagai sumber energi utama, sehingga regulasi ini menjadi dasar bagi penyediaan listrik dan infrastruktur pengisian kendaraan listrik.</t>
  </si>
  <si>
    <r>
      <rPr>
        <sz val="11"/>
        <color theme="1"/>
        <rFont val="Calibri"/>
      </rPr>
      <t>PP No. 14 Tahun 2012</t>
    </r>
    <r>
      <rPr>
        <sz val="11"/>
        <color theme="1"/>
        <rFont val="Calibri"/>
      </rPr>
      <t xml:space="preserve"> tentang Kegiatan Usaha Penyediaan Tenaga Listrik</t>
    </r>
  </si>
  <si>
    <t>Mengatur kegiatan usaha penyediaan tenaga listrik, termasuk penyediaan dan penjualan tenaga listrik.</t>
  </si>
  <si>
    <t>Mendukung operasional charging ecosystem MOLINAS. Relevan untuk memastikan ketersediaan dan mekanisme penyediaan listrik yang dibutuhkan oleh SPKLU maupun fasilitas pengisian lainnya.</t>
  </si>
  <si>
    <r>
      <rPr>
        <sz val="11"/>
        <color theme="1"/>
        <rFont val="Calibri"/>
      </rPr>
      <t>Permen ESDM No. 13 Tahun 2020</t>
    </r>
    <r>
      <rPr>
        <sz val="11"/>
        <color theme="1"/>
        <rFont val="Calibri"/>
      </rPr>
      <t xml:space="preserve"> tentang Infrastruktur Pengisian KBLBB</t>
    </r>
  </si>
  <si>
    <t>BRIN (Connector Charger)</t>
  </si>
  <si>
    <t>Mengatur infrastruktur pengisian kendaraan listrik, termasuk fasilitas charging, SPKLU, SPBKLU, aspek keselamatan, mekanisme bisnis, dan tarif listrik.</t>
  </si>
  <si>
    <t>Regulasi ini menjadi dasar pengembangan infrastruktur charging yang memungkinkan kendaraan MOLINAS digunakan secara luas. Namun, sudah dicabut oleh Permen ESDM No. 1 Tahun 2023, sehingga untuk laporan sebaiknya gunakan Permen ESDM No. 1/2023 sebagai regulasi yang berlaku.</t>
  </si>
  <si>
    <t>Permen ESDM No. 1/2023 (SPKLU)</t>
  </si>
  <si>
    <t>Mengatur penyediaan infrastruktur pengisian listrik untuk kendaraan bermotor listrik berbasis baterai, termasuk jenis infrastruktur, tarif, pembinaan, pengawasan, pelaporan, dan evaluasi.</t>
  </si>
  <si>
    <t>Menjadi dasar pengembangan infrastruktur charging MOLINAS, termasuk penyediaan dan pengoperasian SPKLU serta integrasinya dengan ekosistem kendaraan listrik.</t>
  </si>
  <si>
    <t>R&amp;D / technology development</t>
  </si>
  <si>
    <t>Kemhan</t>
  </si>
  <si>
    <t>UU No. 16/2012 tentang Industri Pertahanan; kebijakan pengadaan TNI, standar militer terkait</t>
  </si>
  <si>
    <t>Mengatur penyelenggaraan industri pertahanan dan kemandirian industri pertahanan, termasuk pemenuhan kebutuhan alat/peralatan pertahanan.</t>
  </si>
  <si>
    <t>Relevan secara kondisional apabila MOLINAS mengembangkan motor listrik untuk kebutuhan pertahanan; fokus pada kemandirian industri, persyaratan teknis, dan pengadaan pertahanan.</t>
  </si>
  <si>
    <t>TNI / Defense User</t>
  </si>
  <si>
    <t>Kebijakan pengadaan TNI dan kebutuhan user</t>
  </si>
  <si>
    <t>Mengacu pada kebutuhan operasional, spesifikasi, persyaratan teknis, dan mekanisme pengadaan pengguna pertahanan.</t>
  </si>
  <si>
    <t>Berperan sebagai end-user potensial apabila motor listrik MOLINAS dikembangkan untuk kebutuhan operasional TNI, termasuk penentuan spesifikasi, mission requirement, fleet, dan pengadaan.</t>
  </si>
  <si>
    <t>Dirjen Pothan</t>
  </si>
  <si>
    <t>Kebijakan industri pertahanan &amp; pengadaan</t>
  </si>
  <si>
    <t>Mengatur/menjalankan kebijakan terkait potensi pertahanan, industri pertahanan, dan pengadaan sesuai kewenangan Kementerian Pertahanan.</t>
  </si>
  <si>
    <t>Relevan apabila MOLINAS memiliki use case kendaraan listrik pertahanan, terutama untuk koordinasi kebutuhan industri, spesifikasi, kemandirian, dan pengadaan.</t>
  </si>
  <si>
    <t>ALVA Mitra / OEM</t>
  </si>
  <si>
    <t>Ketentuan industri/manufaktur dan partnership yang relevan</t>
  </si>
  <si>
    <t>Mencakup ketentuan industri/manufaktur, TKDN, sertifikasi, uji tipe, keselamatan, mutu, produksi, dan perizinan yang berlaku bagi OEM.</t>
  </si>
  <si>
    <t>Sebagai OEM/mitra manufaktur potensial, berperan dalam pengembangan dan produksi kendaraan MOLINAS serta pemenuhan TKDN, type approval, standar keselamatan, quality, dan perizinan.</t>
  </si>
  <si>
    <t>GESITS (Mitra / OEM)</t>
  </si>
  <si>
    <t>Ketentuan manufaktur dan partnership</t>
  </si>
  <si>
    <t>Mencakup ketentuan manufaktur, kerja sama/kemitraan, pengadaan komponen, kualitas, dan persyaratan produk yang relevan.</t>
  </si>
  <si>
    <t>Mendukung manufacturing, assembly, capacity deployment, dan integrasi produk MOLINAS sesuai spesifikasi, standar, TKDN, dan kebutuhan ekosistem.</t>
  </si>
  <si>
    <t>Kemenaker</t>
  </si>
  <si>
    <t>UU No. 13 Tahun 2003 tentang Ketenagakerjaan</t>
  </si>
  <si>
    <t>Mengatur pembangunan ketenagakerjaan, termasuk perencanaan tenaga kerja, pelatihan kerja, penempatan tenaga kerja, perluasan kesempatan kerja, hubungan kerja, perlindungan, dan hubungan industrial.</t>
  </si>
  <si>
    <t>Menjadi dasar aspek ketenagakerjaan dalam MOLINAS, khususnya penyediaan, penempatan, dan peningkatan kompetensi tenaga kerja yang mendukung pengembangan industri kendaraan listrik nasional.</t>
  </si>
  <si>
    <t>UU No. 6 Tahun 2023 tentang Cipta Kerja</t>
  </si>
  <si>
    <t>Menetapkan Perppu Cipta Kerja menjadi undang-undang dan mengubah sejumlah ketentuan ketenagakerjaan serta aspek penciptaan lapangan kerja.</t>
  </si>
  <si>
    <t>Relevan untuk MOLINAS dalam mendukung penciptaan lapangan kerja, fleksibilitas kegiatan usaha, dan penyerapan tenaga kerja pada rantai nilai industri kendaraan listrik sesuai ketentuan yang berlaku.</t>
  </si>
  <si>
    <t>PP No. 33 Tahun 2013 tentang Perluasan Kesempatan Kerja</t>
  </si>
  <si>
    <t>Mengatur upaya pemerintah dan dunia usaha dalam menciptakan dan memperluas kesempatan kerja.</t>
  </si>
  <si>
    <t>Menjadi dasar pendukung MOLINAS untuk mendorong penciptaan lapangan kerja baru melalui manufaktur, komponen, baterai, charging, layanan purna jual, dan aktivitas pendukung ekosistem.</t>
  </si>
  <si>
    <t>PLN</t>
  </si>
  <si>
    <t>Utility / Infrastructure Provider</t>
  </si>
  <si>
    <t>Berperan sebagai penyedia dan penyelenggara layanan kelistrikan serta infrastruktur pengisian kendaraan listrik sesuai kewenangan dan skema usaha yang berlaku.</t>
  </si>
  <si>
    <t>Menjadi enabler infrastruktur energi MOLINAS, terutama penyediaan pasokan listrik, koneksi jaringan, dan pengembangan/dukungan ekosistem charging.</t>
  </si>
  <si>
    <t>KLH / BPLH</t>
  </si>
  <si>
    <t>Permen LHK No. 9/2024</t>
  </si>
  <si>
    <t>Mengatur pengelolaan sampah yang mengandung B3 dan limbah B3 sesuai ruang lingkup ketentuan.</t>
  </si>
  <si>
    <t>Relevan untuk MOLINAS dalam pengelolaan limbah yang berasal dari baterai, komponen, proses produksi, atau aktivitas end-of-life apabila masuk kategori B3.</t>
  </si>
  <si>
    <t>Permen LHK No. 6 Tahun 2021</t>
  </si>
  <si>
    <t>Tata Cara dan Persyaratan Pengelolaan Limbah Bahan Berbahaya dan Beracun</t>
  </si>
  <si>
    <t>Mengatur pengelolaan Limbah B3, termasuk kegiatan penyimpanan, pengangkutan, pemanfaatan, pengolahan, dan penimbunan. Relevan untuk limbah baterai, bahan kimia, solvent, oli, sludge, serta limbah B3 lain yang muncul sepanjang proses manufaktur dan after-sales MOLINAS.</t>
  </si>
  <si>
    <t>Permen LHK No. 12 Tahun 2021</t>
  </si>
  <si>
    <t>Midstream</t>
  </si>
  <si>
    <t>Baku Mutu Emisi Daur Ulang Baterai Lithium</t>
  </si>
  <si>
    <t>Mengatur baku mutu emisi yang terkait dengan kegiatan daur ulang baterai lithium. Sangat relevan bagi fasilitas battery recycling/recovery MOLINAS, khususnya pengendalian emisi dari proses pemulihan material baterai.</t>
  </si>
  <si>
    <t>Permen LHK No. 11 Tahun 2024</t>
  </si>
  <si>
    <t>Penerapan Kerangka Kualifikasi Nasional Indonesia Bidang Pengelolaan Limbah Bahan Berbahaya dan Beracun</t>
  </si>
  <si>
    <t>Mengatur kompetensi tenaga kerja dalam pengelolaan Limbah B3. Pelaku usaha pengelolaan Limbah B3, termasuk penghasil Limbah B3 dan kegiatan tertentu yang berisiko tinggi, diwajibkan memiliki tenaga kerja dengan kompetensi tersertifikasi sesuai ketentuan.</t>
  </si>
  <si>
    <t>Baterai &amp; Teknologi Baterai; Powertrain &amp; Komponen Elektrikal</t>
  </si>
  <si>
    <t>Permen LHK No. 14 Tahun 2024</t>
  </si>
  <si>
    <t>Penyelenggaraan Pengawasan dan Sanksi Administratif Bidang Lingkungan Hidup</t>
  </si>
  <si>
    <t>Mengatur mekanisme pengawasan, penerapan sanksi administratif, evaluasi pengawasan, pembinaan, dan ketentuan terkait penegakan kepatuhan lingkungan. Relevan sebagai compliance framework untuk fasilitas manufaktur dan pengelolaan lingkungan MOLINAS.</t>
  </si>
  <si>
    <t>SNI baterai &amp; keselamatan; SNI komponen kelistrikan</t>
  </si>
  <si>
    <t>Permen LHK No. 74 Tahun 2019</t>
  </si>
  <si>
    <t>Program Kedaruratan Pengelolaan B3 dan/atau Limbah B3</t>
  </si>
  <si>
    <t>Riset, pengembangan, validasi teknologi baterai, motor listrik, controller, inverter, BMS dan komponen</t>
  </si>
  <si>
    <t>Mengatur penyusunan program kedaruratan, pelatihan dan geladi, penanggulangan keadaan darurat, serta pembentukan pusat kedaruratan B3/Limbah B3. Relevan untuk mitigasi insiden seperti kebakaran baterai, tumpahan bahan kimia, atau kecelakaan dalam penyimpanan dan pengangkutan Limbah B3.</t>
  </si>
  <si>
    <t>Bahan Baku &amp; Komponen Dasar; 
Infrastruktur &amp; Pendukung</t>
  </si>
  <si>
    <t>Permen LHK No. 75 Tahun 2019</t>
  </si>
  <si>
    <t>Peta Jalan Pengurangan Sampah oleh Produsen</t>
  </si>
  <si>
    <t>Mengatur pelaksanaan peta jalan pengurangan sampah oleh produsen, termasuk tugas dan kewenangan, insentif/disinsentif, serta pembiayaan. Relevan untuk membangun mekanisme pengurangan sampah dan pendekatan take-back/producer responsibility dalam ekosistem MOLINAS.</t>
  </si>
  <si>
    <t>Permen LHK No. 1 Tahun 2021*</t>
  </si>
  <si>
    <t>Program Penilaian Peringkat Kinerja Perusahaan dalam Pengelolaan Lingkungan Hidup (PROPER)</t>
  </si>
  <si>
    <t>WS3 – Innovation</t>
  </si>
  <si>
    <t>Menjadi kerangka penilaian kinerja perusahaan dalam pengelolaan lingkungan. Namun, peraturan ini sudah dicabut oleh Permen LH/BPLH No. 7 Tahun 2025, sehingga untuk database yang digunakan sebagai regulatory register saat ini sebaiknya ditandai sebagai historical/reference, bukan regulasi aktif.</t>
  </si>
  <si>
    <t>WS2 Ecosystem; WS2 Legal</t>
  </si>
  <si>
    <t>Permen LH/BPLH No. 7 Tahun 2025</t>
  </si>
  <si>
    <t>Program Penilaian Peringkat Kinerja Pengelolaan Lingkungan Hidup</t>
  </si>
  <si>
    <t>CTO</t>
  </si>
  <si>
    <t>Regulasi yang saat ini menggantikan Permen LHK No. 1 Tahun 2021 untuk kerangka PROPER. Mengatur perencanaan, pelaksanaan, serta tindak lanjut hasil pemeringkatan kinerja pengelolaan lingkungan hidup.</t>
  </si>
  <si>
    <t>UU No. 1 Tahun 1970</t>
  </si>
  <si>
    <t>Monitoring</t>
  </si>
  <si>
    <t>Keselamatan kerja di tempat kerja</t>
  </si>
  <si>
    <t>Merupakan dasar hukum K3 di Indonesia. Mengatur kewajiban dan prinsip keselamatan kerja untuk mencegah kecelakaan serta melindungi tenaga kerja maupun pihak lain yang berada di tempat kerja. Relevan untuk fasilitas produksi, workshop, gudang, mesin produksi, instalasi listrik, bahan berbahaya, dan aktivitas operasional MOLINAS.</t>
  </si>
  <si>
    <t>Support</t>
  </si>
  <si>
    <t>Technical partner</t>
  </si>
  <si>
    <t>PP No. 50 Tahun 2012</t>
  </si>
  <si>
    <t>Technology validation &amp; collaboration</t>
  </si>
  <si>
    <t>Sistem Manajemen Keselamatan dan Kesehatan Kerja (SMK3)</t>
  </si>
  <si>
    <t>Mengatur bagaimana perusahaan menerapkan K3 secara sistematis, bukan hanya memenuhi aspek keselamatan secara teknis. Mencakup kebijakan K3, perencanaan, pelaksanaan, pemantauan/evaluasi, serta peningkatan berkelanjutan. Relevan untuk membangun K3 management system pada fasilitas manufaktur MOLINAS. PP ini masih berstatus berlaku</t>
  </si>
  <si>
    <t>Audiensi</t>
  </si>
  <si>
    <t>Permen LHK No. 4 Tahun 2021</t>
  </si>
  <si>
    <t>Penentuan dokumen/persetujuan lingkungan berdasarkan jenis &amp; skala kegiatan</t>
  </si>
  <si>
    <t>Menentukan apakah suatu kegiatan wajib memiliki AMDAL, UKL-UPL, atau SPPL berdasarkan jenis usaha, KBLI, lokasi, skala/besaran kegiatan, dan potensi dampaknya. Untuk MOLINAS, regulasi ini penting saat menentukan environmental document requirement untuk fasilitas manufaktur/assembly, termasuk berdasarkan kapasitas dan karakteristik kegiatannya</t>
  </si>
  <si>
    <t>Riset &amp; kolaborasi teknologi</t>
  </si>
  <si>
    <t>PP No. 22 tahun 2021</t>
  </si>
  <si>
    <t>Mengatur penyelenggaraan perlindungan dan pengelolaan lingkungan hidup, termasuk ketentuan mengenai pengelolaan limbah B3 dan non-B3.</t>
  </si>
  <si>
    <t>Scope alignment</t>
  </si>
  <si>
    <t>Menjadi dasar pengelolaan aspek lingkungan MOLINAS, terutama pengendalian dampak kegiatan manufaktur, pengelolaan limbah, dan pemenuhan persyaratan lingkungan.</t>
  </si>
  <si>
    <t>Kemendag</t>
  </si>
  <si>
    <t>UU No. 7 Tahun 2014</t>
  </si>
  <si>
    <t>Validasi teknologi</t>
  </si>
  <si>
    <t>Mengatur perdagangan dalam negeri dan luar negeri, termasuk kebijakan perdagangan, pengendalian perdagangan, serta barang yang dilarang atau dibatasi.</t>
  </si>
  <si>
    <t>Menjadi dasar aspek perdagangan MOLINAS, termasuk distribusi kendaraan/komponen dalam negeri dan pengaturan perdagangan luar negeri yang terkait dengan rantai pasok serta ekspor-impor.</t>
  </si>
  <si>
    <t>Dukungan pengembangan</t>
  </si>
  <si>
    <t>OJK</t>
  </si>
  <si>
    <t>POJK pembiayaan &amp; leasing</t>
  </si>
  <si>
    <t>Mengatur kerangka pengaturan dan pengawasan kegiatan jasa keuangan yang terkait dengan pembiayaan dan/atau perusahaan pembiayaan sesuai ketentuan OJK.</t>
  </si>
  <si>
    <t>Menjadi enabler pembiayaan konsumen, fleet, dan skema pembiayaan kendaraan listrik sehingga dapat mendukung peningkatan adopsi motor listrik dalam MOLINAS.</t>
  </si>
  <si>
    <t>Ketentuan pembiayaan konsumen/fleet</t>
  </si>
  <si>
    <t>Mengatur kegiatan pembiayaan konsumen dan pembiayaan untuk kebutuhan usaha/fleet sesuai ketentuan sektor jasa keuangan.</t>
  </si>
  <si>
    <t>Mendukung skema pembiayaan pembelian motor listrik oleh individu, perusahaan, fleet, dan institusi dalam rangka memperluas demand MOLINAS.</t>
  </si>
  <si>
    <t>Green financing</t>
  </si>
  <si>
    <t>Mendorong pembiayaan berkelanjutan/berwawasan lingkungan sesuai kerangka keuangan berkelanjutan yang berlaku.</t>
  </si>
  <si>
    <t>Dapat menjadi enabler pembiayaan kendaraan rendah emisi, investasi hijau, dan pengembangan rantai pasok MOLINAS; penerapannya mengikuti kriteria dan ketentuan pembiayaan berkelanjutan.</t>
  </si>
  <si>
    <t>Himbara (Bank Mandiri, BRI BNI, BTN, BSI)</t>
  </si>
  <si>
    <t>Ketentuan perbankan &amp; pembiayaan</t>
  </si>
  <si>
    <t>Mengatur kegiatan perbankan, pembiayaan, dan layanan keuangan sesuai ketentuan perbankan yang berlaku.</t>
  </si>
  <si>
    <t>Berpotensi menjadi mitra pembiayaan untuk konsumen, fleet, investasi, modal kerja, dan supply-chain financing dalam ekosistem MOLINAS.</t>
  </si>
  <si>
    <t>In Progress</t>
  </si>
  <si>
    <t>Mengatur kegiatan perbankan dan pembiayaan sesuai ketentuan yang berlaku.</t>
  </si>
  <si>
    <t>Berpotensi mendukung pembiayaan retail, UMKM, fleet, investasi, dan supply-chain financing untuk pelaku ekosistem MOLINAS.</t>
  </si>
  <si>
    <t>Berpotensi mendukung corporate financing, investasi, fleet, dan supply-chain financing dalam pengembangan ekosistem MOLINAS.</t>
  </si>
  <si>
    <t>IBC</t>
  </si>
  <si>
    <t>Teknologi &amp; Baterai</t>
  </si>
  <si>
    <t>Berpotensi menjadi mitra pembiayaan konsumen/produk kendaraan listrik sesuai produk dan skema pembiayaan yang tersedia.</t>
  </si>
  <si>
    <t>Mengatur kegiatan perbankan syariah dan pembiayaan sesuai prinsip serta ketentuan yang berlaku.</t>
  </si>
  <si>
    <t>Berpotensi mendukung skema pembiayaan kendaraan listrik berbasis syariah bagi konsumen, pelaku usaha, dan rantai pasok MOLINAS.</t>
  </si>
  <si>
    <t>BRIN</t>
  </si>
  <si>
    <t>Riset &amp; teknologi baterai, BMS, charging, keselamatan</t>
  </si>
  <si>
    <t>Melaksanakan riset dan pengembangan teknologi yang relevan dengan baterai, Battery Management System (BMS), charging, keselamatan, material, dan teknologi kendaraan listrik.</t>
  </si>
  <si>
    <t>Berperan sebagai research/technology enabler MOLINAS untuk pengembangan dan pengujian teknologi baterai, BMS, charging, material, keselamatan, dan motor listrik.</t>
  </si>
  <si>
    <t>SNI/riset komponen kelistrikan</t>
  </si>
  <si>
    <t>Mendukung riset, pengembangan, dan pengujian teknologi/komponen kelistrikan; penetapan SNI berada dalam kerangka standardisasi nasional.</t>
  </si>
  <si>
    <t>Relevan untuk mendukung pengembangan teknologi dan kesiapan komponen lokal MOLINAS agar memenuhi kebutuhan kinerja, keselamatan, dan standardisasi.</t>
  </si>
  <si>
    <t>Hulu</t>
  </si>
  <si>
    <t>BSN</t>
  </si>
  <si>
    <t>Battery Cell</t>
  </si>
  <si>
    <t>SNI kendaraan, baterai &amp; komponen</t>
  </si>
  <si>
    <t>Mengembangkan dan menetapkan Standar Nasional Indonesia (SNI) sebagai acuan standardisasi nasional sesuai kewenangannya.</t>
  </si>
  <si>
    <t>Menjadi acuan mutu, keselamatan, kinerja, dan persyaratan teknis kendaraan, baterai, serta komponen dalam ekosistem MOLINAS.</t>
  </si>
  <si>
    <t>Produksi battery cell domestik, kapasitas manufaktur, yield, quality, local input, dan keterhubungan dengan OEM</t>
  </si>
  <si>
    <t>Manufaktur &amp; Supply Chain ; 
Bahan Baku &amp; Komponen Dasar</t>
  </si>
  <si>
    <t>SNI baterai &amp; keselamatan</t>
  </si>
  <si>
    <t>Mengembangkan dan menetapkan standar nasional terkait mutu, kinerja, dan keselamatan baterai serta komponen terkait.</t>
  </si>
  <si>
    <t>Cell manufacturing / industrialization &amp; ecosystem integration</t>
  </si>
  <si>
    <t>Mendukung kepastian standar keselamatan dan kinerja baterai dalam MOLINAS serta menjadi referensi bagi produsen dan lembaga penilaian kesesuaian.</t>
  </si>
  <si>
    <t>SNI kendaraan/rangka, rem, suspensi, dll.</t>
  </si>
  <si>
    <t>Mengembangkan dan menetapkan standar teknis kendaraan dan komponen untuk mendukung keselamatan, mutu, dan kesesuaian teknis.</t>
  </si>
  <si>
    <t>Menjadi referensi teknis bagi pengembangan produk motor listrik MOLINAS agar memenuhi persyaratan keselamatan dan kinerja.</t>
  </si>
  <si>
    <t>WS2 – Ecosystem</t>
  </si>
  <si>
    <t>LSPro</t>
  </si>
  <si>
    <t>Sertifikasi kesesuaian SNI</t>
  </si>
  <si>
    <t>Melakukan penilaian dan sertifikasi kesesuaian produk terhadap SNI apabila dipersyaratkan dan tercakup dalam ruang lingkup sertifikasinya.</t>
  </si>
  <si>
    <t>WS3 – Innovation, Supply Chain</t>
  </si>
  <si>
    <t>Berperan memastikan produk/komponen MOLINAS memperoleh sertifikasi kesesuaian SNI ketika diwajibkan atau dibutuhkan sesuai skema dan ruang lingkup sertifikasi.</t>
  </si>
  <si>
    <t>CMO</t>
  </si>
  <si>
    <t>Penilaian/sertifikasi kesesuaian produk terhadap SNI</t>
  </si>
  <si>
    <t>Melaksanakan penilaian atau sertifikasi kesesuaian produk terhadap SNI sesuai persyaratan dan ruang lingkup lembaga.</t>
  </si>
  <si>
    <t>Menjadi bagian dari assurance/compliance chain MOLINAS untuk memastikan produk memenuhi standar yang dipersyaratkan sebelum dipasarkan atau digunakan.</t>
  </si>
  <si>
    <t>Puslaik Kemhan</t>
  </si>
  <si>
    <t>UU No. 16/2012; standar/kebijakan kelaikan pertahanan</t>
  </si>
  <si>
    <t>Mendukung pelaksanaan persyaratan kelaikan dan teknis peralatan/kendaraan yang digunakan untuk kepentingan pertahanan sesuai kewenangannya.</t>
  </si>
  <si>
    <t>Relevan apabila produk motor listrik MOLINAS digunakan untuk kebutuhan pertahanan, khususnya pemenuhan persyaratan kelaikan dan teknis.</t>
  </si>
  <si>
    <t>Grab*</t>
  </si>
  <si>
    <t>Partner input</t>
  </si>
  <si>
    <t>Ketentuan operasional/fleet yang relevan</t>
  </si>
  <si>
    <t>Kesiapan dan scale-up produksi battery cell domestik serta integrasi dengan OEM</t>
  </si>
  <si>
    <t>Mencakup kebutuhan operasional armada dan layanan fleet sesuai model bisnis serta ketentuan yang berlaku.</t>
  </si>
  <si>
    <t>Audiensi / engagement awal</t>
  </si>
  <si>
    <t>Berpotensi menjadi anchor demand/fleet user MOLINAS untuk deployment kendaraan listrik dan pengujian kebutuhan charging, baterai, maintenance, dan service level.</t>
  </si>
  <si>
    <t>Pembahasan kebutuhan produk &amp; OEM</t>
  </si>
  <si>
    <t>Diskusi awal</t>
  </si>
  <si>
    <t>Gojek*</t>
  </si>
  <si>
    <t>Alignment deployment</t>
  </si>
  <si>
    <t>Koordinasi uji coba</t>
  </si>
  <si>
    <t>Mencakup ketentuan operasional armada, keselamatan, layanan, dan kebutuhan fleet sesuai model bisnis dan ketentuan yang berlaku.</t>
  </si>
  <si>
    <t>Berpotensi menjadi anchor demand/fleet user MOLINAS untuk menguji dan mengembangkan kebutuhan range, utilisasi, charging/swapping, maintenance, TCO, dan after-sales.</t>
  </si>
  <si>
    <t>Koordinasi implementasi fleet/deployment</t>
  </si>
  <si>
    <t>Pos Indonesia</t>
  </si>
  <si>
    <t>Mencakup ketentuan dan kebutuhan operasional armada logistik/kurir serta persyaratan penggunaan kendaraan dalam kegiatan layanan.</t>
  </si>
  <si>
    <t>Berpotensi menjadi fleet user MOLINAS untuk kendaraan logistik/kurir, dengan fokus pada range, payload, charging, uptime, biaya operasi, dan penggantian armada.</t>
  </si>
  <si>
    <t>JNE</t>
  </si>
  <si>
    <t>ALVA (Mitra / OEM)</t>
  </si>
  <si>
    <t>OEM collaboration</t>
  </si>
  <si>
    <t>Mencakup kebutuhan operasional armada logistik/last-mile sesuai kegiatan usaha dan ketentuan yang berlaku.</t>
  </si>
  <si>
    <t>Berpotensi menjadi fleet user MOLINAS untuk kebutuhan logistik/last-mile, terutama pengujian range, payload, uptime, charging, maintenance, dan TCO.</t>
  </si>
  <si>
    <t>GESITS (Teknologi)</t>
  </si>
  <si>
    <t>Ketentuan industri/manufaktur, TKDN dan type approval</t>
  </si>
  <si>
    <t>Mencakup persyaratan industri/manufaktur kendaraan, TKDN, sertifikasi, uji tipe, keselamatan, dan ketentuan produksi yang berlaku.</t>
  </si>
  <si>
    <t>Berpotensi menjadi OEM/product partner MOLINAS untuk pengembangan, produksi, dan deployment E2W sesuai persyaratan teknis, TKDN, dan standardisasi.</t>
  </si>
  <si>
    <t>Mitra / OEM</t>
  </si>
  <si>
    <t>AESMOLI</t>
  </si>
  <si>
    <t>Kebijakan/regulasi industri kendaraan listrik</t>
  </si>
  <si>
    <t>OEM collaboration, partnership structure, technical/commercial input</t>
  </si>
  <si>
    <t>Berperan sebagai asosiasi industri yang merepresentasikan pelaku industri kendaraan listrik dan menyampaikan masukan terkait kebijakan serta pengembangan industri.</t>
  </si>
  <si>
    <t>Menjadi kanal representasi dan koordinasi industri MOLINAS untuk menyampaikan kebutuhan pelaku usaha, masukan kebijakan, standardisasi, TKDN, serta pengembangan ekosistem kendaraan listrik.</t>
  </si>
  <si>
    <t>Mitra terkait*</t>
  </si>
  <si>
    <t>Regulasi korporasi, investasi, pembiayaan dan partnership yang relevan</t>
  </si>
  <si>
    <t>Mencakup ketentuan korporasi, investasi, pembiayaan, kemitraan, pengadaan, manufaktur, dan distribusi sesuai jenis kegiatan masing-masing mitra.</t>
  </si>
  <si>
    <t>Mendukung investasi, JV/partnership, pembiayaan, pengadaan komponen, manufaktur, distribusi, dan pengembangan rantai nilai ekosistem MOLINAS.</t>
  </si>
  <si>
    <t>Komdigi</t>
  </si>
  <si>
    <t>Permenkominfo No. 3/2024</t>
  </si>
  <si>
    <t>Mengatur sertifikasi alat dan/atau perangkat telekomunikasi sesuai ruang lingkup peraturan.</t>
  </si>
  <si>
    <t xml:space="preserve">Manufaktur &amp; Supply Chain; Distribusi &amp; Pasar </t>
  </si>
  <si>
    <t>Relevan untuk komponen atau fitur kendaraan MOLINAS yang menggunakan perangkat telekomunikasi/radio dan masuk dalam objek sertifikasi, misalnya perangkat konektivitas atau komunikasi.</t>
  </si>
  <si>
    <t>WS1 – Business Development</t>
  </si>
  <si>
    <t>WS3 Marketing, Supply Chain; WS4 Finance, WS2 Ecosystem</t>
  </si>
  <si>
    <t>Perpres No. 55 Tahun 2019 tentang Percepatan Program KBLBB untuk Transportasi Jalan</t>
  </si>
  <si>
    <t>Menetapkan kerangka percepatan pengembangan ekosistem kendaraan bermotor listrik berbasis baterai, termasuk pengembangan industri komponen, baterai, infrastruktur pendukung, penggunaan produk dalam negeri, serta dukungan pemerintah.</t>
  </si>
  <si>
    <t>Accompany</t>
  </si>
  <si>
    <t>Menjadi payung kebijakan utama bagi pengembangan IBC dalam ekosistem baterai dan KBLBB nasional.</t>
  </si>
  <si>
    <t>Partner / OEM</t>
  </si>
  <si>
    <t>Partnership structure &amp; commitment</t>
  </si>
  <si>
    <t>Perpres No. 79 Tahun 2023 tentang Perubahan atas Perpres No. 55 Tahun 2019</t>
  </si>
  <si>
    <t>Memperkuat dan memperluas ekosistem KBLBB, termasuk penyesuaian ketentuan TKDN dan dukungan pemerintah terhadap percepatan ekosistem kendaraan listrik.</t>
  </si>
  <si>
    <t>Relevan untuk IBC dalam mendukung pendalaman industri baterai domestik dan integrasi dengan OEM dalam ekosistem MOLINAS.</t>
  </si>
  <si>
    <t>Alignment kebutuhan fleet / armada</t>
  </si>
  <si>
    <t>Alignment komersial &amp; deployment</t>
  </si>
  <si>
    <t>Permenperin No. 28 Tahun 2023 tentang TKDN KBLBB</t>
  </si>
  <si>
    <t>Koordinasi implementasi fleet</t>
  </si>
  <si>
    <t>Koordinasi deployment</t>
  </si>
  <si>
    <t>Monitoring engagement</t>
  </si>
  <si>
    <t>Mengatur ketentuan Tingkat Komponen Dalam Negeri pada kendaraan bermotor listrik berbasis baterai dan komponen/aktivitas industri yang mendukung pencapaian TKDN.</t>
  </si>
  <si>
    <t>Menjadi acuan IBC dalam pengembangan battery cell domestik dan peningkatan local value creation untuk mendukung target TKDN kendaraan listrik.</t>
  </si>
  <si>
    <t>Danantara</t>
  </si>
  <si>
    <t>UU No. 1 Tahun 2025</t>
  </si>
  <si>
    <t>Perubahan Ketiga atas UU No. 19 Tahun 2003 tentang BUMN</t>
  </si>
  <si>
    <t>Menjadi dasar pembentukan dan penguatan kelembagaan Danantara serta mandat pengelolaan dan optimalisasi investasi/aset BUMN. Relevan sebagai landasan keterlibatan Danantara dalam strategic investment dan financing MOLINAS.</t>
  </si>
  <si>
    <t>PP No. 10 Tahun 2025 jo. PP No. 19 Tahun 2026</t>
  </si>
  <si>
    <t>Organisasi dan Tata Kelola BPI Danantara</t>
  </si>
  <si>
    <t>Mengatur organisasi, tata kelola, serta kewenangan Danantara. Relevan untuk menentukan mekanisme engagement, pengambilan keputusan, dan alignment investasi/pembiayaan yang dapat mendukung MOLINAS.</t>
  </si>
  <si>
    <t>PP No. 34 Tahun 2025</t>
  </si>
  <si>
    <t>Tata Cara Pengelolaan Aset BPI Danantara</t>
  </si>
  <si>
    <t>Mengatur tata cara pengelolaan aset Danantara. Relevan untuk aspek pengelolaan dan pengembangan investasi/aset yang dapat dikaitkan dengan strategic financing dan pengembangan ekosistem MOLINAS.</t>
  </si>
  <si>
    <t>UU No. 16 Tahun 2025</t>
  </si>
  <si>
    <t>Perubahan Keempat atas UU No. 19 Tahun 2003 tentang BUMN</t>
  </si>
  <si>
    <t>Memperkuat kerangka kelembagaan dan tata kelola BUMN serta pengaturan terkait fungsi investasi. Relevan sebagai landasan kelembagaan Danantara dalam mendukung agenda investasi strategis, termasuk peluang pengembangan MOLINAS.</t>
  </si>
  <si>
    <t>Partner / OEM mapping</t>
  </si>
  <si>
    <t>ATMI</t>
  </si>
  <si>
    <t>UU No. 20 Tahun 2003</t>
  </si>
  <si>
    <t>Sistem Pendidikan Nasional</t>
  </si>
  <si>
    <t>Dasar penyelenggaraan pendidikan nasional. Relevan untuk pengembangan pendidikan vokasi dan SDM pendukung ekosistem MOLINAS.</t>
  </si>
  <si>
    <t>UU No. 12 Tahun 2012</t>
  </si>
  <si>
    <t>Pendidikan Tinggi</t>
  </si>
  <si>
    <t>MOLINAS DATABASE DASHBOARD</t>
  </si>
  <si>
    <t>Mengatur penyelenggaraan pendidikan tinggi, termasuk pendidikan vokasi. Relevan dengan pengembangan kompetensi SDM teknis untuk MOLINAS.</t>
  </si>
  <si>
    <t>PP No. 57 Tahun 2021 jo. PP No. 4 Tahun 2022</t>
  </si>
  <si>
    <t>Baterai &amp; Teknologi Baterai</t>
  </si>
  <si>
    <t>Standar Nasional Pendidikan</t>
  </si>
  <si>
    <t>BRICK - jenis baterai yang dikembangkan/dimiliki GESITS</t>
  </si>
  <si>
    <t>Mengatur Standar Nasional Pendidikan. Relevan sebagai kerangka standar mutu pendidikan dan pengembangan kompetensi vokasi.</t>
  </si>
  <si>
    <t xml:space="preserve">Bahan Baku &amp; Komponen Dasar; </t>
  </si>
  <si>
    <t>Standardisasi tipe baterai</t>
  </si>
  <si>
    <t>Permendikbudristek No. 53 Tahun 2023</t>
  </si>
  <si>
    <t>Penjaminan Mutu Pendidikan Tinggi</t>
  </si>
  <si>
    <t>Mengatur sistem penjaminan mutu dan standar pendidikan tinggi. Relevan untuk memastikan program pendidikan vokasi yang mendukung MOLINAS memiliki standar mutu.</t>
  </si>
  <si>
    <t xml:space="preserve">WS2 Ecosystem; WS4 Finance  </t>
  </si>
  <si>
    <t>Adyawinsa</t>
  </si>
  <si>
    <t>Co-Lead</t>
  </si>
  <si>
    <t>Alignment dan integrasi teknologi BRICK dalam ekosistem baterai MoLiNas</t>
  </si>
  <si>
    <t>Permenperin No. 35 Tahun 2025</t>
  </si>
  <si>
    <t>Stakeholder engagement</t>
  </si>
  <si>
    <t>Mengatur penghitungan, verifikasi, sertifikasi, surveilans, dan pengawasan TKDN/BMP. Relevan untuk validasi kandungan lokal komponen dan proses manufaktur Adyawinsa.</t>
  </si>
  <si>
    <t>Regulatory alignment</t>
  </si>
  <si>
    <t>Ecosystem coordination</t>
  </si>
  <si>
    <t>Standar Kegiatan Usaha dan/atau Standar Produk/Jasa pada Perizinan Berusaha Berbasis Risiko Sektor Perindustrian</t>
  </si>
  <si>
    <t>Mengatur standar kegiatan usaha dan produk/jasa sektor industri. Relevan dengan kesiapan kegiatan manufaktur dan produksi komponen untuk MOLINAS.</t>
  </si>
  <si>
    <t>Partnership / deployment pathway</t>
  </si>
  <si>
    <t>Kementerian Hukum</t>
  </si>
  <si>
    <t>1. Regulatory, TKDN, industrial regulation
2. OEM, manufaktur &amp; supply chain</t>
  </si>
  <si>
    <t>UU No. 13 Tahun 2016 jo. UU No. 65 Tahun 2024 – Paten</t>
  </si>
  <si>
    <t>Mengatur perlindungan dan pemanfaatan invensi di bidang teknologi, termasuk hak eksklusif inventor/pemegang paten, pendaftaran, pengalihan hak, lisensi, serta pelaksanaan dan perlindungan paten.</t>
  </si>
  <si>
    <t>1. Baterai &amp; Teknologi Baterai
2. Powertrain &amp; Komponen Elektrikal; Manufaktur &amp; Perakitan</t>
  </si>
  <si>
    <t>1. Permenperin No. 28/2023 (TKDN KLBB); Permenperin No. 35/2025 (Sertifikasi TKDN &amp; BMP); SNI baterai &amp; keselamatan; Regulasi lembaga penilai (Permen LHK No. 9/2024)
2. Permenperin No. 28/2023; Permenperin No. 35/2023; SNI komponen kelistrikan; Permenperin No. 29/2023 (Industri KBLBB); Permenperin No. 35/2023; Permenperin No. 38/2023</t>
  </si>
  <si>
    <t>1. Produksi/impor baterai, TKDN, standardisasi (SNI), keselamatan, pengelolaan baterai bekas, riset &amp; pengembangan teknologi
2. Motor listrik, controller, inverter, BMS, komponen utama/pendukung; industri kendaraan listrik, perakitan OEM/IKD/CKD, TKDN, sertifikasi industri, fasilitas produksi</t>
  </si>
  <si>
    <t>Bahan Baku &amp; Komponen Dasar; 
Manufaktur &amp; Supply Chain; 
Daur Ulang &amp; Ekosistem Sirkular</t>
  </si>
  <si>
    <r>
      <t>Untuk OEM, perlu diverifikasi siapa pemilik paten, chain of title/pengalihan hak, status perlindungan, serta hak OEM untuk menggunakan atau mengomersialisasikan teknologi melalui ownership atau lisensi. (</t>
    </r>
    <r>
      <rPr>
        <u/>
        <sz val="11"/>
        <color rgb="FF1155CC"/>
        <rFont val="Calibri"/>
      </rPr>
      <t>Database Peraturan | JDIH BPK</t>
    </r>
    <r>
      <rPr>
        <sz val="11"/>
        <color theme="1"/>
        <rFont val="Calibri"/>
        <scheme val="minor"/>
      </rPr>
      <t>)</t>
    </r>
  </si>
  <si>
    <t>WS2 – Legal</t>
  </si>
  <si>
    <t>1. WS2 Ecosystem; WS3 Innovation, Supply Chain
2. WS3 Supply Chain, Innovation; WS2 Legal</t>
  </si>
  <si>
    <t>1. CTO
2. COO</t>
  </si>
  <si>
    <t>Executive view — Stakeholder, Regulatory, Policy &amp; News Intelligence</t>
  </si>
  <si>
    <t>1. Accompany / Co-Lead
2. Accompany</t>
  </si>
  <si>
    <t>1. Technical input
2. OEM/industry input</t>
  </si>
  <si>
    <t>1. Regulatory pathway &amp; TKDN clear
2. Production &amp; industrialization roadmap</t>
  </si>
  <si>
    <t>Audiensi awal</t>
  </si>
  <si>
    <t>Pembahasan regulasi &amp; TKDN</t>
  </si>
  <si>
    <t>Alignment akhir</t>
  </si>
  <si>
    <t xml:space="preserve">Finalisasi TKDN &amp; manufaktur
</t>
  </si>
  <si>
    <t>Finalisasi TKDN &amp; manufaktur</t>
  </si>
  <si>
    <t>Implementasi &amp; monitoring</t>
  </si>
  <si>
    <t>STAKEHOLDER</t>
  </si>
  <si>
    <t>P1 GATEKEEPER</t>
  </si>
  <si>
    <t>P2 SCALE ENABLER</t>
  </si>
  <si>
    <t>P3 SUPPORT</t>
  </si>
  <si>
    <t>REGULATORY ITEMS</t>
  </si>
  <si>
    <t>UU No. 31 Tahun 2000 – Desain Industri</t>
  </si>
  <si>
    <t>POLICY AREAS</t>
  </si>
  <si>
    <t>Mengatur perlindungan atas tampilan atau desain suatu produk yang memiliki karakteristik khusus dari segi bentuk, konfigurasi, komposisi garis/warna, atau kombinasinya yang memberikan kesan estetis.</t>
  </si>
  <si>
    <t>Uji tipe, SUT, SRUT, kelaikan</t>
  </si>
  <si>
    <r>
      <t>Untuk OEM, perlu diverifikasi kepemilikan desain kendaraan/komponen, status pendaftaran, pengalihan hak, serta hak penggunaan atau lisensi desain. (</t>
    </r>
    <r>
      <rPr>
        <u/>
        <sz val="11"/>
        <color rgb="FF1155CC"/>
        <rFont val="Calibri"/>
      </rPr>
      <t>Database Peraturan | JDIH BPK</t>
    </r>
    <r>
      <rPr>
        <sz val="11"/>
        <color theme="1"/>
        <rFont val="Calibri"/>
        <scheme val="minor"/>
      </rPr>
      <t>)</t>
    </r>
  </si>
  <si>
    <t>NEWS</t>
  </si>
  <si>
    <t>Sertifikasi Kendaraan (Uji Tipe, SUT, SRUT); Chassis/Rangka &amp; Komponen Kendaraan</t>
  </si>
  <si>
    <t>Permenhub No. 87/2020 (Uji Tipe KLBB); Permenhub No. 44/2020 jo. 86/2020 (Pengujian tipe kendaraan listrik); Ketentuan SUT &amp; SRUT; Permenperin No. 28/2023; Ketentuan keselamatan kendaraan (Kemenhub)</t>
  </si>
  <si>
    <t>Uji tipe, homologasi, SUT (TIPE), SRUT (produksi), registrasi, keselamatan &amp; kelaikan jalan; rangka, suspensi, rem, roda, body, keselamatan &amp; kelaikan teknis</t>
  </si>
  <si>
    <t>Manufaktur &amp; Supply Chain; 
Distribusi &amp; Pasar; 
Pengguna &amp; Layanan</t>
  </si>
  <si>
    <t>WS3 Innovation; WS2 Ecosystem</t>
  </si>
  <si>
    <t>Vehicle/OEM support</t>
  </si>
  <si>
    <t>Certification pathway (type approval)</t>
  </si>
  <si>
    <t>Uji tipe, SUT, SRUT</t>
  </si>
  <si>
    <t>Alignment persyaratan</t>
  </si>
  <si>
    <t>Finalisasi regulasi &amp; standar teknis</t>
  </si>
  <si>
    <t>UU No. 28 Tahun 2014 – Hak Cipta</t>
  </si>
  <si>
    <t>Sertifikasi &amp; compliance</t>
  </si>
  <si>
    <t>Mengatur perlindungan hak moral dan hak ekonomi atas ciptaan, termasuk karya ilmu pengetahuan, seni, sastra, dan program komputer, serta pengalihan hak, lisensi, royalti, dan penyelesaian sengketa.</t>
  </si>
  <si>
    <r>
      <t>Untuk OEM, relevan terhadap software, firmware, desain grafis, manual, technical drawing, dokumentasi, dan material digital; perlu dipastikan siapa pencipta/pemegang hak dan apakah OEM memiliki hak penggunaan/komersialisasi yang sah. (</t>
    </r>
    <r>
      <rPr>
        <u/>
        <sz val="11"/>
        <color rgb="FF1155CC"/>
        <rFont val="Calibri"/>
      </rPr>
      <t>Database Peraturan | JDIH BPK</t>
    </r>
    <r>
      <rPr>
        <sz val="11"/>
        <color theme="1"/>
        <rFont val="Calibri"/>
        <scheme val="minor"/>
      </rPr>
      <t>)</t>
    </r>
  </si>
  <si>
    <t>Pending</t>
  </si>
  <si>
    <t>Fiskal &amp; insentif KLBB</t>
  </si>
  <si>
    <t>Enablers (Financing &amp; Support)</t>
  </si>
  <si>
    <t>Fiskal, Perdagangan &amp; Pembiayaan</t>
  </si>
  <si>
    <t>PMK insentif KBLBB (PPN, PPnBM, bea masuk, dll); Ketentuan perdagangan/impor-ekspor; POJK pembiayaan &amp; leasing</t>
  </si>
  <si>
    <t>Insentif fiskal, bea masuk, perdagangan, pembiayaan konsumen &amp; fleet, skema leasing, green financing</t>
  </si>
  <si>
    <t>Distribusi &amp; Pasar; 
Pengguna &amp; Layanan</t>
  </si>
  <si>
    <t>WS4 – Finance</t>
  </si>
  <si>
    <t>WS2 Legal; WS1 Business Development</t>
  </si>
  <si>
    <t>CFO</t>
  </si>
  <si>
    <t>-</t>
  </si>
  <si>
    <t>Fiscal / incentive framework clarity</t>
  </si>
  <si>
    <t>Diskusi insentif &amp; skema fiskal</t>
  </si>
  <si>
    <t>Penyelarasan skema</t>
  </si>
  <si>
    <t>Finalisasi skema</t>
  </si>
  <si>
    <t>Implementasi insentif</t>
  </si>
  <si>
    <t>Evaluasi</t>
  </si>
  <si>
    <t>STANDAR</t>
  </si>
  <si>
    <t>KETERANGAN</t>
  </si>
  <si>
    <t>Perencanaan nasional / PSN</t>
  </si>
  <si>
    <t>SNI ISO 21782</t>
  </si>
  <si>
    <t>Metode pengujian komponen sistem propulsi kendaraan listrik, mencakup karakteristik dan performa komponen propulsi.</t>
  </si>
  <si>
    <t>SNI 9368:2025</t>
  </si>
  <si>
    <t>Standar terkait pengujian motor penggerak kendaraan listrik untuk memastikan karakteristik dan kinerja motor sesuai persyaratan teknis.</t>
  </si>
  <si>
    <t>SNI 8927:2020</t>
  </si>
  <si>
    <t>Persyaratan keselamatan baterai yang digunakan pada kendaraan listrik, termasuk aspek keselamatan dan pengujian baterai.</t>
  </si>
  <si>
    <t>SNI 8928:2023</t>
  </si>
  <si>
    <t>Persyaratan dan karakteristik baterai yang dapat dipertukarkan (swappable battery) untuk kendaraan listrik.</t>
  </si>
  <si>
    <t>Program Strategis Nasional (PSN) &amp; Kelembagaan Lintas Sektor</t>
  </si>
  <si>
    <t>SNI 8872:2024</t>
  </si>
  <si>
    <t>PP No. 42/2021 (PSN); Permenko Perekonomian No. 20/2025 (Rencana &amp; evaluasi PSN); Regulasi terkait penugasan BUMN</t>
  </si>
  <si>
    <t>Persyaratan terkait Rechargeable Electrical Energy Storage System (REESS) pada kendaraan listrik, terutama aspek keselamatan sistem penyimpanan energi.</t>
  </si>
  <si>
    <t>Koordinasi lintas K/L, penetapan/status PSN, sinkronisasi program, pendanaan, monitoring &amp; evaluasi</t>
  </si>
  <si>
    <t>Semua Tahap (Ekosistem)</t>
  </si>
  <si>
    <t>SNI 9102:2022</t>
  </si>
  <si>
    <t>Strategic program / PSN</t>
  </si>
  <si>
    <t>Persyaratan dan metode pengujian kinerja baterai kendaraan listrik.</t>
  </si>
  <si>
    <t>SNI 9323:2024</t>
  </si>
  <si>
    <t>Persyaratan keselamatan kelistrikan kendaraan listrik dan sistem kelistrikan terkait.</t>
  </si>
  <si>
    <t>WS1 Corporate Strategic Planning; WS2 Legal/Ecosystem; WS4 Finance</t>
  </si>
  <si>
    <t>CEO / CMO</t>
  </si>
  <si>
    <t>SNI 8614-1:2018</t>
  </si>
  <si>
    <t>National program alignment &amp; support framework</t>
  </si>
  <si>
    <t>Standar pengukuran konsumsi energi kendaraan bermotor listrik.</t>
  </si>
  <si>
    <t>Audiensi &amp; strategic alignment</t>
  </si>
  <si>
    <t>SNI 8614-2:2018</t>
  </si>
  <si>
    <t>Standar terkait karakteristik dan pengujian operasi/performa kendaraan bermotor listrik.</t>
  </si>
  <si>
    <t>Dukungan program nasional</t>
  </si>
  <si>
    <t>Framework dukungan</t>
  </si>
  <si>
    <t>SNI IEC 62196-2:2016</t>
  </si>
  <si>
    <t>Persyaratan untuk plug, socket-outlet, vehicle connector dan vehicle inlet yang digunakan pada sistem pengisian konduktif kendaraan listrik.</t>
  </si>
  <si>
    <t>Koordinasi implementasi</t>
  </si>
  <si>
    <t>SNI IEC 61851-1:2017</t>
  </si>
  <si>
    <t>Persyaratan umum sistem pengisian konduktif kendaraan listrik, termasuk hubungan antara kendaraan dan peralatan suplai listrik.</t>
  </si>
  <si>
    <t>SNI IEC TS 62840-1:2016</t>
  </si>
  <si>
    <t>Persyaratan umum sistem battery swapping untuk kendaraan listrik.</t>
  </si>
  <si>
    <t>SNI IEC 62840-2:2016</t>
  </si>
  <si>
    <t>Persyaratan keselamatan sistem battery swapping kendaraan listrik, termasuk aspek antarmuka dan operasi pertukaran baterai.</t>
  </si>
  <si>
    <t>Mineral &amp; hilirisasi</t>
  </si>
  <si>
    <t>UN 38.3</t>
  </si>
  <si>
    <t>Serangkaian pengujian keselamatan baterai lithium dan sel sebelum pengangkutan, mencakup kondisi mekanis, termal, tekanan dan hubung singkat.</t>
  </si>
  <si>
    <t>UN R10</t>
  </si>
  <si>
    <t>Persyaratan Electromagnetic Compatibility (EMC) kendaraan bermotor dan komponen/peralatan elektroniknya.</t>
  </si>
  <si>
    <t>UN R136</t>
  </si>
  <si>
    <t>Persyaratan khusus keselamatan kendaraan listrik kategori L, termasuk keselamatan Rechargeable Electrical Energy Storage System (REESS).</t>
  </si>
  <si>
    <t>Mineral &amp; Bahan Baku</t>
  </si>
  <si>
    <t>UU No. 3/2020 (Mineral dan Batubara); PP No. 25/2024 (Perubahan atas PP 96/2021); Peraturan turunannya (RKAB, hilirisasi, dll)</t>
  </si>
  <si>
    <t>Pasokan mineral kritis (nikel, kobalt, mangan, lithium), hilirisasi, perizinan tambang, rantai pasok bahan baku</t>
  </si>
  <si>
    <t>STAKEHOLDER LANDSCAPE</t>
  </si>
  <si>
    <t>Bahan Baku &amp; Komponen Dasar</t>
  </si>
  <si>
    <t>POLICY &amp; REGULATORY</t>
  </si>
  <si>
    <t>WS2 Legal; WS3 Supply Chain, Innovation</t>
  </si>
  <si>
    <t>Mineral supply &amp; hilirisasi alignment</t>
  </si>
  <si>
    <t>NEWS INTELLIGENCE</t>
  </si>
  <si>
    <t>Mineral &amp; hilirisasi (baterai)</t>
  </si>
  <si>
    <t>Supply chain alignment</t>
  </si>
  <si>
    <t>Kepastian pasokan &amp; rantai pasok</t>
  </si>
  <si>
    <t>Priority</t>
  </si>
  <si>
    <t>Implementasi rantai pasok</t>
  </si>
  <si>
    <t>Jumlah</t>
  </si>
  <si>
    <t>Work Package</t>
  </si>
  <si>
    <t>Indicator</t>
  </si>
  <si>
    <t>Value</t>
  </si>
  <si>
    <t>Segmen</t>
  </si>
  <si>
    <t>Coverage</t>
  </si>
  <si>
    <t>Kemenhan</t>
  </si>
  <si>
    <t>Strategic / defense use case</t>
  </si>
  <si>
    <t>P1</t>
  </si>
  <si>
    <t>Hilir</t>
  </si>
  <si>
    <t>Pertahanan &amp; Strategic Use Case</t>
  </si>
  <si>
    <t>UU No. 16/2012 (Industri Pertahanan); kebijakan pengadaan TNI, standar militer terkait</t>
  </si>
  <si>
    <t>Kebutuhan TNI, spesifikasi militer, kelaikan pertahanan, procurement &amp; deployment, dukungan industri strategis</t>
  </si>
  <si>
    <t>Pengguna &amp; Layanan</t>
  </si>
  <si>
    <t>IEC 61851-25</t>
  </si>
  <si>
    <t>Persyaratan khusus untuk sistem pengisian kendaraan listrik dan komunikasi antara kendaraan dengan peralatan suplai listrik pada lingkup yang ditetapkan standar.</t>
  </si>
  <si>
    <t>WS3 – Market &amp; Sales</t>
  </si>
  <si>
    <t>OCPP 1.6J</t>
  </si>
  <si>
    <t>Protokol komunikasi terbuka antara charging station dan central management system untuk mendukung interoperabilitas dan pengelolaan infrastruktur pengisian.</t>
  </si>
  <si>
    <t>WS2 Ecosystem, Legal; WS3 Innovation</t>
  </si>
  <si>
    <t>Stakeholder / lembaga</t>
  </si>
  <si>
    <t>Defense use case &amp; demand alignment</t>
  </si>
  <si>
    <t>Kebutuhan TNI &amp; use case</t>
  </si>
  <si>
    <t>Requirement &amp; spesifikasi</t>
  </si>
  <si>
    <t>Requirement freeze</t>
  </si>
  <si>
    <t>Validasi use case</t>
  </si>
  <si>
    <t>Global</t>
  </si>
  <si>
    <t>Pengadaan &amp; implementasi</t>
  </si>
  <si>
    <t>Requirement &amp; demand</t>
  </si>
  <si>
    <t>Countries</t>
  </si>
  <si>
    <t>User requirement, demand, spesifikasi, procurement/use case</t>
  </si>
  <si>
    <t>WS2 Ecosystem; WS3 Innovation</t>
  </si>
  <si>
    <t>P2</t>
  </si>
  <si>
    <t>User requirement / demand commitment</t>
  </si>
  <si>
    <t>Diskusi kebutuhan awal</t>
  </si>
  <si>
    <t>Procurement &amp; spesifikasi</t>
  </si>
  <si>
    <t>Alignment</t>
  </si>
  <si>
    <t>Validasi produk</t>
  </si>
  <si>
    <t>Uji operasional &amp; feedback</t>
  </si>
  <si>
    <t>Pertahanan &amp; Strategic use case</t>
  </si>
  <si>
    <t>Regulatory items</t>
  </si>
  <si>
    <t>Lokal</t>
  </si>
  <si>
    <t>Alignment kebutuhan pertahanan, user requirement, spesifikasi, kelaikan, procurement dan peluang deployment kendaraan listrik untuk strategic use case</t>
  </si>
  <si>
    <t>Strategic defense engagement, requirement &amp; demand alignment</t>
  </si>
  <si>
    <t>WS3 Innovation; WS3 Market &amp; Sales; WS2 Ecosystem</t>
  </si>
  <si>
    <t>Partner Input</t>
  </si>
  <si>
    <t>Defense use case alignment, requirement definition &amp; strategic procurement pathway</t>
  </si>
  <si>
    <t>Kebutuhan &amp; strategic use case</t>
  </si>
  <si>
    <t>Themes</t>
  </si>
  <si>
    <t>Requirement alignment</t>
  </si>
  <si>
    <t>Procurement / deployment pathway</t>
  </si>
  <si>
    <t>Financing ecosystem</t>
  </si>
  <si>
    <t>P3</t>
  </si>
  <si>
    <t>Mandat pengelolaan dan optimalisasi investasi pemerintah/aset BUMN, tata kelola Danantara, serta pengelolaan aset; relevan untuk alignment investasi strategis dan dukungan ekosistem pembiayaan MOLINAS.</t>
  </si>
  <si>
    <t xml:space="preserve">Distribusi &amp; Pasar; 
Pengguna &amp; Layanan ; Manufaktur &amp; Supply Chain; </t>
  </si>
  <si>
    <t>CTO/CMO</t>
  </si>
  <si>
    <t>Policy areas</t>
  </si>
  <si>
    <t>Optional</t>
  </si>
  <si>
    <t>Molinas</t>
  </si>
  <si>
    <t>Financing pathway &amp; strategic investment alignment</t>
  </si>
  <si>
    <t>ISO/IEC – daur ulang &amp; pemulihan material</t>
  </si>
  <si>
    <t>Acuan standar internasional untuk mendukung proses pengelolaan akhir masa pakai, daur ulang, pemulihan material, dan pengelolaan sumber daya secara sistematis.</t>
  </si>
  <si>
    <t>Diskusi insentif 
&amp; skema fiskal</t>
  </si>
  <si>
    <t>Latest</t>
  </si>
  <si>
    <t>Penyelarasan 
skema</t>
  </si>
  <si>
    <t>Implementasi 
insentif</t>
  </si>
  <si>
    <t xml:space="preserve">Enablers </t>
  </si>
  <si>
    <t>POJK pembiayaan &amp; leasing; Ketentuan pembiayaan konsumen/fleet, green financing</t>
  </si>
  <si>
    <t>Pembiayaan konsumen &amp; fleet, skema leasing, green financing, market access</t>
  </si>
  <si>
    <t>WS2 Legal; WS3 Market &amp; Sales</t>
  </si>
  <si>
    <t>Financing scheme &amp; market readiness</t>
  </si>
  <si>
    <t>Skema pembiayaan</t>
  </si>
  <si>
    <t>Alignment pembiayaan</t>
  </si>
  <si>
    <t>Implementasi &amp; market access</t>
  </si>
  <si>
    <t>Ketenagakerjaan dan Pengembangan SDM</t>
  </si>
  <si>
    <t>Enablers (Logistics &amp; SDM)</t>
  </si>
  <si>
    <t>Manufaktur &amp; Perakitan</t>
  </si>
  <si>
    <t>Kebutuhan &amp; penyerapan tenaga kerja, pengembangan kompetensi, pelatihan/upskilling-reskilling, sertifikasi tenaga kerja, serta kesiapan SDM untuk mendukung industrialisasi motor listrik nasional.</t>
  </si>
  <si>
    <t>Kebutuhan tenaga kerja, kompetensi, pelatihan, sertifikasi &amp; penyerapan tenaga kerja</t>
  </si>
  <si>
    <t>WS3 – Innovation &amp; Operation; WS2 – Ecosystem</t>
  </si>
  <si>
    <t>Workforce readiness &amp; employment creation</t>
  </si>
  <si>
    <t>Aligntment</t>
  </si>
  <si>
    <t>Implementasi Insentif</t>
  </si>
  <si>
    <t xml:space="preserve">Monitoring  </t>
  </si>
  <si>
    <t>Charging &amp; ketenagalistrikan</t>
  </si>
  <si>
    <t>MOLINAS STRATEGIC AREAS — POLICY / ECOSYSTEM</t>
  </si>
  <si>
    <t>Enablers (Charging / Swapping)</t>
  </si>
  <si>
    <t>Infrastruktur Pengisian &amp; Ketenagalistrikan</t>
  </si>
  <si>
    <t>Permen ESDM No. 1/2023 (SPKLU); Ketentuan ketenagalistrikan, tarif, K3</t>
  </si>
  <si>
    <t>SPKLU/SPBKLU, tarif listrik, integrasi jaringan, standar teknis &amp; keselamatan</t>
  </si>
  <si>
    <t>WS3 Supply Chain; WS2 Legal/Ecosystem</t>
  </si>
  <si>
    <t>Area</t>
  </si>
  <si>
    <t>CTO / COO</t>
  </si>
  <si>
    <t>Technical input</t>
  </si>
  <si>
    <t>Charging infrastructure pathway</t>
  </si>
  <si>
    <t>Key Direction</t>
  </si>
  <si>
    <t>R&amp;D Priority</t>
  </si>
  <si>
    <t>Battery waste &amp; recycling</t>
  </si>
  <si>
    <t>Lingkungan &amp; Ekonomi Sirkular</t>
  </si>
  <si>
    <t>Permen LHK No. 9/2024 (Pengelolaan limbah baterai kendaraan listrik); Regulasi limbah B3 lainnya</t>
  </si>
  <si>
    <t>Pengumpulan, penyimpanan, daur ulang baterai, pengelolaan limbah B3, ekonomi sirkular</t>
  </si>
  <si>
    <t>Daur Ulang &amp; Ekosistem Sirkular</t>
  </si>
  <si>
    <t>WS3 Innovation</t>
  </si>
  <si>
    <t>Recycling partner</t>
  </si>
  <si>
    <t>Circularity &amp; compliance pathway</t>
  </si>
  <si>
    <t>Regulasi baterai &amp; daur ulang</t>
  </si>
  <si>
    <t>Implementasi &amp; pemantauan</t>
  </si>
  <si>
    <t>Perdagangan / ekspor-impor</t>
  </si>
  <si>
    <t>Ketentuan perdagangan/impor-ekspor</t>
  </si>
  <si>
    <t>Perdagangan, ekspor-impor, fasilitasi perdagangan</t>
  </si>
  <si>
    <t>Distribusi &amp; Pasar</t>
  </si>
  <si>
    <t>WS1 Business Development; WS3 Supply Chain</t>
  </si>
  <si>
    <t>Trade / import-export pathway</t>
  </si>
  <si>
    <t>Kebijakan ekspor-impor</t>
  </si>
  <si>
    <t>Fasilitasi perdagangan</t>
  </si>
  <si>
    <t>Implementasi</t>
  </si>
  <si>
    <t xml:space="preserve">BSN  </t>
  </si>
  <si>
    <t>Standardisasi / SNI</t>
  </si>
  <si>
    <t>Baterai &amp; Teknologi Baterai; Chassis/Rangka &amp; Komponen Kendaraan; Standardisasi</t>
  </si>
  <si>
    <t>Standardisasi, penyusunan/validasi SNI, conformity assessment</t>
  </si>
  <si>
    <t>Manufaktur &amp; Supply Chain; 
Pengguna &amp; Layanan</t>
  </si>
  <si>
    <t>WS2 Legal; WS3 Innovation</t>
  </si>
  <si>
    <t>Standardization / SNI alignment</t>
  </si>
  <si>
    <t>Alignment standar</t>
  </si>
  <si>
    <t>Finalisasi standar</t>
  </si>
  <si>
    <t>Conformity assessment &amp; sertifikasi</t>
  </si>
  <si>
    <t>Sertifikasi</t>
  </si>
  <si>
    <t>Baterai &amp; Teknologi Baterai; Chassis/Rangka &amp; Komponen Kendaraan.</t>
  </si>
  <si>
    <t>SNI baterai &amp; keselamatan; SNI komponen kelistrikan; SNI kendaraan/rangka, rem, suspensi, dll.</t>
  </si>
  <si>
    <t>Conformity assessment, sertifikasi</t>
  </si>
  <si>
    <t>Military qualification</t>
  </si>
  <si>
    <t>UU No. 16/2012 (Industri Pertahanan); standar/kebijakan kelaikan pertahanan</t>
  </si>
  <si>
    <t>Persyaratan sertifikasi dan kualifikasi militer, uji dan validasi</t>
  </si>
  <si>
    <t>WS3 Innovation; WS3 Market &amp; Sales</t>
  </si>
  <si>
    <t>Military qualification pathway</t>
  </si>
  <si>
    <t>Persyaratan sertifikasi</t>
  </si>
  <si>
    <t>Proses sertifikasi</t>
  </si>
  <si>
    <t>Certification plan</t>
  </si>
  <si>
    <t>Uji &amp; validasi</t>
  </si>
  <si>
    <t>Sertifikasi &amp; deployment</t>
  </si>
  <si>
    <t>Offtake / fleet</t>
  </si>
  <si>
    <t>Pengguna / Offtaker</t>
  </si>
  <si>
    <t>Offtake, kebutuhan fleet, model bisnis, pilot dan implementasi fleet</t>
  </si>
  <si>
    <t>OEM support</t>
  </si>
  <si>
    <t>Offtake / fleet demand</t>
  </si>
  <si>
    <t>Kebutuhan fleet &amp; model bisnis</t>
  </si>
  <si>
    <t>Alignment komersial</t>
  </si>
  <si>
    <t>Pilot / uji coba</t>
  </si>
  <si>
    <t>Implementasi fleet</t>
  </si>
  <si>
    <t>Commercial fleet</t>
  </si>
  <si>
    <t>Kebutuhan armada, pilot fleet, deployment komersial</t>
  </si>
  <si>
    <t>WS2 Ecosystem; WS4 Finance, WS3 Supply Chain</t>
  </si>
  <si>
    <t>Fleet deployment</t>
  </si>
  <si>
    <t>Kebutuhan armada</t>
  </si>
  <si>
    <t>Pilot fleet</t>
  </si>
  <si>
    <t>Deployment awal</t>
  </si>
  <si>
    <t>Industry association / ecosystem coordination</t>
  </si>
  <si>
    <t>Koordinasi pelaku industri, penyampaian masukan kebijakan, alignment kebutuhan industri, serta penguatan kolaborasi ekosistem</t>
  </si>
  <si>
    <t>Industry alignment, policy input &amp; ecosystem coordination</t>
  </si>
  <si>
    <t>WS1 Business Development; WS3 Innovation &amp; Market</t>
  </si>
  <si>
    <t>Industry alignment, policy input &amp; ecosystem collaboration</t>
  </si>
  <si>
    <t>Industry input &amp; policy discussion</t>
  </si>
  <si>
    <t>Alignment program</t>
  </si>
  <si>
    <t>Model bisnis / struktur kemitraan</t>
  </si>
  <si>
    <t>LATEST NEWS — LINKED TO DATABASE BERITA</t>
  </si>
  <si>
    <t>Tanggal</t>
  </si>
  <si>
    <t>Negara</t>
  </si>
  <si>
    <t>Perusahaan / Brand</t>
  </si>
  <si>
    <t>Business Model / Partnership</t>
  </si>
  <si>
    <t>Pilar Ekosistem</t>
  </si>
  <si>
    <t>Status</t>
  </si>
  <si>
    <t>Struktur kemitraan, commercial model validation</t>
  </si>
  <si>
    <t>Tema</t>
  </si>
  <si>
    <t>Media</t>
  </si>
  <si>
    <t>WS3 Market &amp; Sales, Innovation; WS2 Legal/Ecosystem</t>
  </si>
  <si>
    <t>Commercial model validation</t>
  </si>
  <si>
    <t>Partner mapping &amp; engagement setup</t>
  </si>
  <si>
    <t>Alignment komersial / deployment</t>
  </si>
  <si>
    <t>Koordinasi implementasi fleet / deployment</t>
  </si>
  <si>
    <t>Manufaktur &amp; Supply Chain</t>
  </si>
  <si>
    <t>Mold Making, Plastic Injection, Product Development &amp; Vocational Education</t>
  </si>
  <si>
    <t>Permenkominfo No. 3/2024 (Sertifikasi alat/perangkat telekomunikasi); SNI, standar komunikasi kendaraan</t>
  </si>
  <si>
    <t>Tool making, plastic injection, product development, scientific molding, mold assembly, training/certification, capacity building untuk mendukung MOLINAS</t>
  </si>
  <si>
    <t>Manufaktur &amp; Supply Chain; Pengguna &amp; Layanan</t>
  </si>
  <si>
    <t>Design enhancement &amp; mass-production preparation</t>
  </si>
  <si>
    <t>WS3 – Innovation, Supply Chain; WS2 – Legal</t>
  </si>
  <si>
    <t>CTO / CMO</t>
  </si>
  <si>
    <t>Technical / vocational partner</t>
  </si>
  <si>
    <t>Readiness mold &amp; plastic injection, capacity building, training, dan industrial ecosystem support</t>
  </si>
  <si>
    <t>Capability validation</t>
  </si>
  <si>
    <t>Program design</t>
  </si>
  <si>
    <t>Implementation preparation</t>
  </si>
  <si>
    <t>Implementation</t>
  </si>
  <si>
    <t>Readiness review</t>
  </si>
  <si>
    <t>Evaluation</t>
  </si>
  <si>
    <t>Adyawinsa Group</t>
  </si>
  <si>
    <t>Design &amp; Engineering; Frame &amp; Chassis; Plastic Injection; Electrical &amp; Power; Mass Production</t>
  </si>
  <si>
    <t>Design enhancement, FMEA, engineering, detailed BOM/process, production line &amp; plant readiness, component sourcing, frame/chassis, plastic injection, electrical &amp; power, quality assurance, dan mass-production preparation</t>
  </si>
  <si>
    <t>Manufaktur &amp; Supply Chain; Distribusi &amp; Pasar</t>
  </si>
  <si>
    <t>WS2 – Ecosystem; WS1 – Business Development</t>
  </si>
  <si>
    <t>Manufacturing / engineering partner</t>
  </si>
  <si>
    <t>Design &amp; engineering readiness, supply-chain support, plant readiness, dan mass-production pathway</t>
  </si>
  <si>
    <t>Design enhancement</t>
  </si>
  <si>
    <t>Engineering / FMEA</t>
  </si>
  <si>
    <t>Engineering GO</t>
  </si>
  <si>
    <t>Tooling &amp; production preparation</t>
  </si>
  <si>
    <t>Trial / product verification</t>
  </si>
  <si>
    <t>Trial / quality approval</t>
  </si>
  <si>
    <t>Mass-production preparation</t>
  </si>
  <si>
    <t>Connectivity / IoT</t>
  </si>
  <si>
    <t>Enablers 
(Technology, Data &amp; Digital)</t>
  </si>
  <si>
    <t>Konektivitas &amp; Digital</t>
  </si>
  <si>
    <t>IoT/TCU, GPS, 4G/5G, perangkat komunikasi, keamanan data, standardisasi</t>
  </si>
  <si>
    <t>Pengembangan ekosistem mold making, plastic injection &amp; vocational capacity</t>
  </si>
  <si>
    <t>WS2 Legal</t>
  </si>
  <si>
    <t>Technology partner</t>
  </si>
  <si>
    <t>Digital/connectivity compliance</t>
  </si>
  <si>
    <t>Diskusi IoT/TCU &amp; standar</t>
  </si>
  <si>
    <t>Alignment teknis</t>
  </si>
  <si>
    <t>Pilot &amp; integrasi</t>
  </si>
  <si>
    <t>Implementasi (jika relevan)</t>
  </si>
  <si>
    <t>MOLINAS PROGRAM MILESTONES</t>
  </si>
  <si>
    <t>Program Mobilization &amp; Stakeholder Mapping</t>
  </si>
  <si>
    <t>Regulatory Clarity &amp; Key Decision Closure</t>
  </si>
  <si>
    <t>Finalisasi Spesifikasi &amp; FS / Production Preparation</t>
  </si>
  <si>
    <t>Production Ramp Up &amp; Certification</t>
  </si>
  <si>
    <t>Initial Delivery &amp; Customer Deployment</t>
  </si>
  <si>
    <t>LEGEND</t>
  </si>
  <si>
    <t>Roadmap activity</t>
  </si>
  <si>
    <t>Schedule inferred from PIC + regulatory dependency</t>
  </si>
  <si>
    <t>P1 – Gatekeeper</t>
  </si>
  <si>
    <t>P2 – Scale Enabler</t>
  </si>
  <si>
    <t>P3 – Conditional</t>
  </si>
  <si>
    <t>P3 - Support / Kondisional</t>
  </si>
  <si>
    <t>LEGEND
(Tahap Ekosistem)</t>
  </si>
  <si>
    <t>Infrastruktur &amp; Pendukung</t>
  </si>
  <si>
    <t>KRITERIA PRIORITAS</t>
  </si>
  <si>
    <t>Depedency</t>
  </si>
  <si>
    <t>≥ 4,25</t>
  </si>
  <si>
    <t>3,00 - &lt; 4,25</t>
  </si>
  <si>
    <t>&lt; 3,00</t>
  </si>
  <si>
    <t>Kategori</t>
  </si>
  <si>
    <t>Perpres 55/2019 – Basis Pengaturan</t>
  </si>
  <si>
    <t>Perpres 79/2023 – Perubahan</t>
  </si>
  <si>
    <t>Gap / Kebutuhan 2026–2035</t>
  </si>
  <si>
    <t>Usulan Penyempurnaan Perpres 2026–2035</t>
  </si>
  <si>
    <t>Usulan TKDN 2026–2035</t>
  </si>
  <si>
    <t>Prioritas R&amp;D 2026–2035</t>
  </si>
  <si>
    <t>Belum mengatur mineral kritis sebagai bagian eksplisit dari ekosistem KBLBB. Fokus pada percepatan industri, termasuk pengembangan industri komponen dan TKDN.</t>
  </si>
  <si>
    <t>Tidak terdapat perubahan substansial yang mengintegrasikan upstream mineral dengan ekosistem baterai.</t>
  </si>
  <si>
    <t>Ketahanan pasok baterai masih bergantung pada rantai mineral–refining–precursor–material aktif. Belum ada pendekatan end-to-end.</t>
  </si>
  <si>
    <t>Memperluas ekosistem KBLBB sampai upstream bahan baku strategis. Mengintegrasikan roadmap mineral kritis dengan baterai, hilirisasi, traceability, ketahanan pasok, efisiensi penggunaan material dan pengembangan material substitusi.</t>
  </si>
  <si>
    <t>Target TKDN kendaraan tetap mengikuti tahapan 40% → 60% → 80%, tetapi pendalaman perlu diarahkan ke local value creation upstream. Perlu indikator/milestone lokal untuk refining, precursor dan material aktif, bukan hanya menghitung kandungan pada kendaraan akhir.</t>
  </si>
  <si>
    <t>10% dari total portofolio R&amp;D KBLBB diarahkan pada refining, material baterai, precursor, material aktif, efisiensi material dan substitusi mineral kritis.</t>
  </si>
  <si>
    <t>Baterai telah menjadi bagian ekosistem KBLBB; industri komponen, TKDN dan R&amp;D didorong; pengelolaan limbah baterai mulai diperhatikan.</t>
  </si>
  <si>
    <t>Pengaturan diperkuat melalui TKDN, R&amp;D, SPBKLU dan perluasan ekosistem KBLBB.</t>
  </si>
  <si>
    <t>Belum sepenuhnya menggunakan perspektif battery lifecycle dari bahan baku sampai recycling/second-life.</t>
  </si>
  <si>
    <t>Mengubah pendekatan dari battery component menjadi battery lifecycle ecosystem. Mencakup cell, module/pack, BMS, thermal management, safety, diagnostics/SOH, second-life, collection, recycling, recovery, traceability dan battery passport.</t>
  </si>
  <si>
    <t>Mempertahankan trajectory 40% → 60% → 80%, tetapi TKDN harus semakin berbasis komponen kritis. Tahap pendalaman: pack/BMS/thermal management → cell → komponen/material kritis, mengikuti kesiapan teknologi dan industri.</t>
  </si>
  <si>
    <t>20% dari portofolio R&amp;D KBLBB untuk battery safety, fast charging, SOH/diagnostics, thermal management, LFP/NMC dan chemistry alternatif, second-life, recycling dan battery passport.</t>
  </si>
  <si>
    <t>Powertrain &amp; Komponen Elektrikal</t>
  </si>
  <si>
    <t>Produksi komponen utama/pendukung, TKDN, R&amp;D dan standardisasi telah didorong.</t>
  </si>
  <si>
    <t>Ketentuan komponen dan R&amp;D dipertahankan dengan penyesuaian TKDN.</t>
  </si>
  <si>
    <t>Target TKDN agregat belum otomatis menghasilkan penguasaan teknologi inti seperti motor, inverter, controller dan power electronics.</t>
  </si>
  <si>
    <t>Memperdalam lokalisasi teknologi inti powertrain, termasuk motor, inverter/controller, BMS, charger, power electronics dan komponen kritis; disertai supplier development dan transfer teknologi.</t>
  </si>
  <si>
    <t>40% → 60% → 80% tetap menjadi baseline kendaraan, tetapi perlu sub-target komponen kritis agar pencapaian TKDN tidak hanya berasal dari komponen non-kritis atau assembly.</t>
  </si>
  <si>
    <t>20% untuk motor listrik, inverter/controller, semiconductor/power electronics, thermal management, control system dan system efficiency.</t>
  </si>
  <si>
    <t>Chassis / Rangka &amp; Komponen Kendaraan</t>
  </si>
  <si>
    <t>Manufaktur domestik, TKDN, uji tipe dan pengujian berkala telah diatur.</t>
  </si>
  <si>
    <t>Tidak ada perubahan fundamental pada chassis/komponen.</t>
  </si>
  <si>
    <t>Lokalisasi relatif lebih memungkinkan, tetapi kemampuan engineering, material dan safety perlu diperdalam.</t>
  </si>
  <si>
    <t>Memperkuat domestic engineering &amp; supplier capability untuk frame, suspension, steering, braking, wheel, body dan safety component.</t>
  </si>
  <si>
    <t>Target mengikuti 40% → 60% → 80%, dengan milestone komponen feasible untuk diproduksi domestik. Penilaian diarahkan bukan hanya pada kuantitas kandungan lokal tetapi juga kemampuan desain/manufaktur.</t>
  </si>
  <si>
    <t>5% untuk lightweighting, structural engineering, crashworthiness, durability dan advanced material.</t>
  </si>
  <si>
    <t>Pembangunan fasilitas manufaktur domestik, produksi komponen, tahapan manufaktur dan TKDN menjadi instrumen utama.</t>
  </si>
  <si>
    <t>Perpres 79/2023 memberi ruang CBU dalam rangka investasi/komitmen produksi domestik dan menyesuaikan ketentuan TKDN.</t>
  </si>
  <si>
    <t>Risiko kebijakan berhenti pada assembly atau investasi awal; perlu transisi menuju manufacturing deepening.</t>
  </si>
  <si>
    <t>Menjadikan fase CBU sebagai transisi menuju pendalaman manufaktur domestik. Dukungan dikaitkan dengan investasi, produksi, TKDN, supplier localization, transfer teknologi, tenaga kerja, R&amp;D dan ekspor.</t>
  </si>
  <si>
    <t>40% → 60% → 80% menjadi minimum trajectory, tetapi pencapaiannya perlu dikaitkan dengan local supplier milestone, kedalaman proses produksi dan ownership teknologi.</t>
  </si>
  <si>
    <t>15% untuk design engineering, process engineering, automation, quality system, manufacturing technology dan production digitalization.</t>
  </si>
  <si>
    <t>Sertifikasi &amp; Keselamatan Kendaraan</t>
  </si>
  <si>
    <t>Uji tipe, uji berkala, NIK, laik jalan, garansi dan registrasi menjadi dasar ketentuan teknis kendaraan.</t>
  </si>
  <si>
    <t>Tidak ada perubahan fundamental pada kerangka sertifikasi, tetapi teknologi EV berkembang jauh lebih cepat.</t>
  </si>
  <si>
    <t>Kerangka konvensional belum cukup menjawab battery safety, functional safety, cybersecurity, OTA, software dan battery health.</t>
  </si>
  <si>
    <t>Memperluas assurance framework untuk EV dan software-defined vehicle, termasuk battery safety, functional safety, cybersecurity, OTA/software validation, SOH dan digital vehicle record.</t>
  </si>
  <si>
    <t>TKDN diarahkan pada alat, sistem dan kemampuan pengujian domestik: test equipment, battery testing, software validation dan certification capability.</t>
  </si>
  <si>
    <t>8% untuk testing/certification technology, battery safety, functional safety, cybersecurity, software validation dan interoperability.</t>
  </si>
  <si>
    <t>Charging, SPKLU dan peran PLN telah menjadi bagian ekosistem; dukungan tarif dan infrastruktur diatur.</t>
  </si>
  <si>
    <t>Cakupan diperkuat dengan SPKLU/SPBKLU serta aspek instalasi dan ketenagalistrikan.</t>
  </si>
  <si>
    <t>Pengaturan masih kuat pada penyediaan fasilitas; kebutuhan berikutnya adalah interoperability, smart charging dan grid integration.</t>
  </si>
  <si>
    <t>Mengubah charging infrastructure menjadi integrated charging ecosystem: interoperability, roaming/payment, fast &amp; ultrafast charging, load management, smart charging, renewable integration dan V2G.</t>
  </si>
  <si>
    <t>TKDN difokuskan pada charger, connector, metering, controller, power electronics dan sistem integrasi, dengan target meningkat sesuai kesiapan industri.</t>
  </si>
  <si>
    <t>7% untuk smart charging, load management, V2G, grid integration, renewable-powered charging dan charging interoperability.</t>
  </si>
  <si>
    <t>Belum terdapat kerangka khusus connected vehicle/digital ecosystem.</t>
  </si>
  <si>
    <t>Belum ada perubahan fundamental yang membentuk digital vehicle ecosystem.</t>
  </si>
  <si>
    <t>EV semakin menjadi platform digital; data, software, connectivity dan cybersecurity menjadi bagian lifecycle kendaraan.</t>
  </si>
  <si>
    <t>Menambahkan digital/connected vehicle sebagai bagian formal ekosistem KBLBB, meliputi TCU/IoT, GPS/4G/5G, vehicle data, cybersecurity, OTA, digital vehicle record dan koneksi dengan battery passport.</t>
  </si>
  <si>
    <t>TKDN diarahkan pada TCU/telematics, software/platform, data services dan digital ecosystem. Pendekatan TKDN perlu mempertimbangkan software dan intangible technology value, bukan hanya physical component.</t>
  </si>
  <si>
    <t>5% untuk vehicle data architecture, cybersecurity, OTA, telematics, AI/analytics dan digital records.</t>
  </si>
  <si>
    <t xml:space="preserve"> Fiskal, Perdagangan &amp; Pembiayaan</t>
  </si>
  <si>
    <t>Insentif fiskal/nonfiskal mencakup bea masuk, pajak, PPN/PPnBM, SPKLU, R&amp;D, ekspor, charging dan pembiayaan.</t>
  </si>
  <si>
    <t>Bantuan pembelian/konversi roda dua dan dukungan CBU/domestik diperkuat dengan persyaratan dan komitmen tertentu.</t>
  </si>
  <si>
    <t>Insentif masih perlu diarahkan dari market stimulation menjadi industrial capability &amp; technology creation.</t>
  </si>
  <si>
    <t>Membentuk performance-based incentive framework: dukungan dikaitkan dengan TKDN, investasi, produksi, supplier lokal, tenaga kerja, R&amp;D, ekspor dan kontribusi emisi; termasuk milestone, monitoring dan exit strategy.</t>
  </si>
  <si>
    <t>Intensitas insentif semakin dikaitkan dengan pencapaian TKDN dan local value creation; semakin dalam lokalisasi dan teknologi domestik, semakin kuat dukungan.</t>
  </si>
  <si>
    <t>7% untuk matching fund, applied R&amp;D, technology adoption, commercialization dan industrial research.</t>
  </si>
  <si>
    <t>Pengelolaan limbah baterai melalui pihak berizin dan aspek lingkungan menjadi bagian program KBLBB.</t>
  </si>
  <si>
    <t>Tidak ada perubahan fundamental.</t>
  </si>
  <si>
    <t>Pendekatan masih lebih dekat ke waste management dibanding lifecycle/circular economy.</t>
  </si>
  <si>
    <t>Membangun battery circular economy framework, termasuk producer responsibility, collection, traceability, diagnosis, safe dismantling, second-life, recycling, recovery dan material recovery.</t>
  </si>
  <si>
    <t>TKDN dikembangkan pada collection, diagnostics, dismantling, recycling dan recovery, sehingga nilai tambah tidak berhenti pada kendaraan baru.</t>
  </si>
  <si>
    <t>3% untuk second-life, recycling efficiency, safe dismantling, material recovery dan circular design.</t>
  </si>
  <si>
    <t>Belum secara spesifik menempatkan KBLBB sebagai strategic/defense use case.</t>
  </si>
  <si>
    <t>Tidak terdapat perubahan fundamental terkait strategic use case.</t>
  </si>
  <si>
    <t>Kebutuhan kendaraan institusional/pertahanan berbeda dari kendaraan komersial dan dapat menjadi anchor demand teknologi domestik.</t>
  </si>
  <si>
    <t>Membuka strategic/institutional pathway dalam ekosistem KBLBB, termasuk procurement, spesifikasi khusus, security requirement, lifecycle support dan keterlibatan industri strategis.</t>
  </si>
  <si>
    <t>TKDN diarahkan pada kemandirian platform dan komponen strategis, bukan sekadar memenuhi persentase kendaraan. Procurement pemerintah dapat menjadi anchor demand.</t>
  </si>
  <si>
    <t>3% untuk ruggedized EV, mission-specific battery/powertrain, secure communication, energy resilience dan defense-grade testing.</t>
  </si>
  <si>
    <t xml:space="preserve"> Program Strategis Nasional &amp; Kelembagaan Lintas Sektor</t>
  </si>
  <si>
    <t>Sudah terdapat mekanisme koordinasi K/L, rencana aksi dan pengawasan percepatan KBLBB.</t>
  </si>
  <si>
    <t>Governance diperkuat untuk mendukung perluasan ekosistem.</t>
  </si>
  <si>
    <t>Koordinasi perlu naik menjadi ecosystem governance dengan single data, KPI, monitoring dan periodic review.</t>
  </si>
  <si>
    <t>Membangun National EV Ecosystem Governance: single data, KPI dashboard, roadmap lintas K/L, funding alignment, monitoring-evaluation dan periodic policy review.</t>
  </si>
  <si>
    <t>Target agregat 40% → 60% → 80% diterjemahkan menjadi milestone per rantai nilai, sehingga pemerintah dapat memonitor kedalaman TKDN, bukan hanya angka agregat kendaraan.</t>
  </si>
  <si>
    <t>10% untuk national R&amp;D portfolio, shared testing facility, technology readiness monitoring dan integrasi riset lintas kategori.</t>
  </si>
  <si>
    <t>Tanggal Berita</t>
  </si>
  <si>
    <t>Area Fokus</t>
  </si>
  <si>
    <t>Ringkasan Berita</t>
  </si>
  <si>
    <t>Angka &amp; Insight Kunci</t>
  </si>
  <si>
    <t>Media / Sumber</t>
  </si>
  <si>
    <t>Link Berita</t>
  </si>
  <si>
    <t>Jenis Berita</t>
  </si>
  <si>
    <t>Indonesia</t>
  </si>
  <si>
    <t>BKPM / Pemerintah</t>
  </si>
  <si>
    <t>ENABLERS</t>
  </si>
  <si>
    <t>Charging / Swapping</t>
  </si>
  <si>
    <t>BKPM melonggarkan kebijakan investasi SPKLU karena ketersediaan charging station belum mampu mengimbangi pertumbuhan permintaan EV. Pemerintah mengubah pendekatan investasi sehingga minimum investasi Rp10 miliar dapat digunakan untuk membangun beberapa titik SPKLU dalam cakupan satu provinsi atau kabupaten, sekaligus mendorong keterlibatan BUMN, Danantara, dan swasta.</t>
  </si>
  <si>
    <t>Minimum investasi Rp10 miliar sebelumnya dikaitkan dengan satu titik; kini dapat mencakup beberapa titik dalam satu provinsi/kabupaten. Biaya satu mesin SPKLU sekitar Rp200–300 juta. Pemerintah juga mendorong interoperabilitas agar satu charging station dapat melayani berbagai merek EV.</t>
  </si>
  <si>
    <t>ANTARA</t>
  </si>
  <si>
    <t>https://www.antaranews.com/berita/5732237/bkpm-longgarkan-investasi-spklu-guna-kejar-pertumbuhan-ev</t>
  </si>
  <si>
    <t>IBC / CATL</t>
  </si>
  <si>
    <t>VALUE CHAIN (HULU–MIDSTREAM–HILIR)</t>
  </si>
  <si>
    <t>HULU — Battery &amp; Components</t>
  </si>
  <si>
    <t>Produksi baterai EV dari fasilitas IBC–CATL di Karawang saat ini lebih banyak diarahkan untuk pasar ekspor, sementara penyerapan domestik masih relatif kecil. IBC telah membahas calon offtaker lokal, termasuk kerja sama dengan PT Len Industri dalam program MoLiNas. Kondisi ini menunjukkan tantangan ekosistem bergeser dari pembangunan kapasitas baterai menuju penguatan domestic absorption dan lokalisasi.</t>
  </si>
  <si>
    <t>Kapasitas awal pabrik 6,9 GWh/tahun dan direncanakan meningkat menjadi sekitar 15 GWh. Pasar domestik masih minoritas; IBC telah berdiskusi dengan PT Len terkait MoLiNas. Produksi awal didominasi LFP, sementara NMC diharapkan meningkat setelah fasilitas material baterai domestik beroperasi.</t>
  </si>
  <si>
    <t>Bisnis.com</t>
  </si>
  <si>
    <t>https://ekonomi.bisnis.com/read/20260908/44/2002459/ibc-ungkap-baterai-ev-pabrik-karawang-lebih-banyak-untuk-pasar-ekspor</t>
  </si>
  <si>
    <t>MoLiNas</t>
  </si>
  <si>
    <t>Pemerintah / MoLiNas</t>
  </si>
  <si>
    <t>REGULATORY &amp; POLICY</t>
  </si>
  <si>
    <t>Regulasi, Kebijakan &amp; Insentif</t>
  </si>
  <si>
    <t>Insentif motor listrik belum resmi berlaku. September masih menjadi target implementasi, sementara PMK dan dasar hukum pelaksana masih dalam proses.</t>
  </si>
  <si>
    <t>Rp3 juta/unit; kerangka anggaran Rp3 triliun; hingga 1 juta unit. Wacana awal 2026 Rp5 juta/unit. Rp7 juta merupakan skema historis 2023–2024.</t>
  </si>
  <si>
    <t>ITERA</t>
  </si>
  <si>
    <t>Artikel ITERA – Update 5 September 2026</t>
  </si>
  <si>
    <t>DPR RI / BYD</t>
  </si>
  <si>
    <t>TKDN &amp; Sertifikasi</t>
  </si>
  <si>
    <t>Komisi XII DPR menekankan peningkatan TKDN BYD harus disertai transfer teknologi kepada pekerja lokal. Fokus local content diperluas dari persentase komponen ke peningkatan kapabilitas SDM dan knowledge transfer.</t>
  </si>
  <si>
    <t>Kunjungan spesifik Komisi XII ke pabrik BYD Subang pada 4 Sep 2026; transfer teknologi kepada pekerja lokal ditekankan. | Issue: Tanpa transfer knowledge, local assembly berisiko menghasilkan ketergantungan teknologi. | Local content: Local content sebaiknya diukur bersama capability building, bukan hanya persentase pembelian domestik. | Manufacturing: Mendorong training, engineering capability, technical management dan knowledge transfer di fasilitas manufaktur.</t>
  </si>
  <si>
    <t>DPR RI</t>
  </si>
  <si>
    <t>https://jdih.dpr.go.id/berita/detail/id/68788/t/Peningkatan%2BTKDN%2BBYD%2BHarus%2BDiikuti%2BTransfer%2BTeknologi%2Bkepada%2BPekerja%2BLokal</t>
  </si>
  <si>
    <t>BYD</t>
  </si>
  <si>
    <t>BYD mengoperasikan pabrik Subang dengan proses manufaktur yang lebih lengkap dan menggandeng ekosistem komponen pendukung untuk mengejar TKDN. Pendalaman manufaktur mencakup proses stamping, welding dan painting serta pengembangan supplier komponen lokal.</t>
  </si>
  <si>
    <t>Target TKDN 60% pada 2027; proses disebut mencakup stamping, welding, painting. | Issue: Kedalaman localization harus dilihat dari proses dan supplier, bukan hanya lokasi assembly. | Local content: Menunjukkan bagaimana OEM dapat mengejar TKDN melalui domestic process + component sourcing. | Manufacturing: Membuka peluang tier-1/tier-2 supplier dan proses manufaktur domestik.</t>
  </si>
  <si>
    <t>OtoDream</t>
  </si>
  <si>
    <t>https://www.otodream.com/ev/35778-byd-optimistis-tkdn-mobil-produksi-subang-capai-60-persen-pada-2027</t>
  </si>
  <si>
    <t>MIDSTREAM — OEM / Manufacturing</t>
  </si>
  <si>
    <t>DPR mendorong BYD memperluas penggunaan tenaga kerja lokal hingga posisi administrasi dan manajemen, bukan hanya operator/support. Local benefit dari investasi EV dibahas sebagai workforce localization, bukan hanya factory output.</t>
  </si>
  <si>
    <t>Kunjungan Komisi XII pada 4 Sep 2026; dorongan agar tenaga kerja lokal masuk hingga management. | Issue: Manfaat investasi dapat dangkal bila workforce localization hanya di level operasional. | Local content: Memperluas definisi domestic value creation ke tenaga kerja dan managerial capability. | Manufacturing: Mendorong pembangunan local engineering, supervisory dan management capability.</t>
  </si>
  <si>
    <t>DPR RI / E-Media</t>
  </si>
  <si>
    <t>https://emedia.dpr.go.id/news/2026/09/05/rokhmat-ardiyan-dorong-byd-libatkan-tenaga-kerja-lokal-hingga-manajemen</t>
  </si>
  <si>
    <t>KLH / Pemerintah RI</t>
  </si>
  <si>
    <t>KLH menargetkan ekosistem pengelolaan limbah baterai EV selesai pada 2027, dimulai dari penguatan regulasi pada 2026. Regulatory groundwork dipercepat sebelum volume baterai bekas meningkat.</t>
  </si>
  <si>
    <t>Regulasi 2026; ecosystem target 2027. | Issue: Perlu pembagian peran produsen, collector, recycler dan regulator. | Local content: Menciptakan basis regulatory certainty untuk investasi battery recycling dan second-life. | Manufacturing: Memberi sinyal pasar untuk membangun fasilitas recycling dan reverse logistics domestik.</t>
  </si>
  <si>
    <t>Katadata</t>
  </si>
  <si>
    <t>https://katadata.co.id/berita/nasional/6a9b715510f06/klh-targetkan-ekosistem-pengelolaan-limbah-baterai-ev-rampung-tahun-depan</t>
  </si>
  <si>
    <t>CATL / EV Industry</t>
  </si>
  <si>
    <t>MIDSTREAM — Quality Assurance</t>
  </si>
  <si>
    <t>CATL memperingatkan risiko kegagalan baterai di tengah percepatan peluncuran model EV dan siklus pengujian yang makin pendek. Isu manufacturing ecosystem tidak hanya capacity dan TKDN, tetapi juga quality validation, safety dan engineering discipline.</t>
  </si>
  <si>
    <t>Sekitar 600 model EV disebut telah diluncurkan sepanjang 2026; harga sel LFP dilaporkan turun di bawah 0,35 yuan/Wh. | Issue: Tekanan cost dan speed-to-market dapat memendekkan validation cycle dan meningkatkan quality risk. | Local content: Local manufacturing perlu membangun capability kualitas setara standar global, bukan sekadar memenuhi TKDN. | Manufacturing: Menekankan battery testing, validation, thermal/safety engineering, supplier quality dan traceability.</t>
  </si>
  <si>
    <t>https://m.antaranews.com/amp/berita/5727535/catl-wanti-wanti-soal-baterai-gagal-di-tengah-banjir-produksi-ev</t>
  </si>
  <si>
    <t>India</t>
  </si>
  <si>
    <t>Ola Electric Mobility (Hasil Rapat Dewan: Fundraise Rp1.500 Crore)</t>
  </si>
  <si>
    <t>Financing &amp; Support</t>
  </si>
  <si>
    <t>Hasil rapat dewan Ola Electric pada 5 September 2026 menyetujui penggalangan dana hingga ₹1.500 crore melalui penerbitan saham ekuitas dan/atau efek yang dapat dikonversi menjadi ekuitas. Dewan juga mencatat pengunduran diri COO Hyun Shik Park efektif 5 September 2026 dan menyetujui perpanjangan masa jabatan dua Direktur Independen, dengan persetujuan pemegang saham dijadwalkan dalam RUPS 30 September 2026.</t>
  </si>
  <si>
    <t>Fundraise disetujui: hingga ₹1.500 crore | COO Hyun Shik Park mundur efektif 5 Sep 2026 | Modal saham resmi dinaikkan menjadi ₹8.721,87 crore | RUPS: 30 Sep 2026</t>
  </si>
  <si>
    <t>Autocar Professional</t>
  </si>
  <si>
    <t>https://www.autocarpro.in/news/ola-electric-approves-rs-1500-crore-fundraise-as-coo-hyun-shik-park-resigns-134555</t>
  </si>
  <si>
    <t>TVS, Bajaj, Ather, Hero Vida, Ola &amp; lainnya (Data Lengkap Penjualan Agustus 2026)</t>
  </si>
  <si>
    <t>Penjualan retail E2W India pada Agustus 2026 mencapai 182.936 unit, naik 67% YoY namun turun 11% MoM dari rekor Juli. TVS memimpin, diikuti Bajaj, Ather, dan Hero Vida; empat pemain teratas menyumbang sekitar 75% penjualan bulan tersebut.</t>
  </si>
  <si>
    <t>Total Agustus: 182.936 unit | +67% YoY | -11% MoM | TVS 48.873 | Bajaj 41.019 | Ather 28.708 | Hero Vida 18.978 | Top 4: 137.578 unit / 75%</t>
  </si>
  <si>
    <t>https://www.autocarpro.in/analysis/electric-2w-sales-grow-67-percent-in-august-but-down-11-percent-on-record-july-retails-134423</t>
  </si>
  <si>
    <t>Ola Electric Mobility (Rencana Penggalangan Dana)</t>
  </si>
  <si>
    <t>HILIR — Sales / Demand</t>
  </si>
  <si>
    <t>Dewan direksi Ola Electric dijadwalkan menggelar rapat pada 5 September 2026 untuk membahas dan menyetujui proposal penggalangan dana baru melalui penerbitan saham ekuitas atau instrumen efek lain yang layak (private placement, QIP, ataupun rights/preferential issue), hanya tiga bulan setelah perusahaan meraih Rp780 crore lewat QIP sebelumnya. Rencana ini muncul di tengah tekanan berlapis: pangsa pasar yang terus tergerus, keluhan konsumen yang menumpuk, serta harga saham yang telah anjlok ~82% dari puncaknya. Hasil rapat dewan (nilai, instrumen, dan struktur pendanaan final) belum diumumkan per saat entri ini ditulis.</t>
  </si>
  <si>
    <t>Fundraise sebelumnya: Rp780 crore (QIP, 3 bulan lalu) | Saham turun ~3-4% dalam beberapa sesi jelang rapat | Insentif PLI-Auto FY27 diterima: Rs 95,81 crore (lihat entri No.3) | Status: rapat dewan berlangsung 5 Sep 2026, hasil belum diumumkan</t>
  </si>
  <si>
    <t>Entrackr / BusinessToday / Zeebiz</t>
  </si>
  <si>
    <t>https://entrackr.com/news/ola-electric-to-consider-another-fundraise-amid-market-share-pressure-12486838</t>
  </si>
  <si>
    <t>KLH / Pemerintah</t>
  </si>
  <si>
    <t>HILIR — Recycling / Circularity</t>
  </si>
  <si>
    <t>KLH membangun ekosistem pengelolaan limbah baterai kendaraan listrik untuk mengantisipasi peningkatan baterai bekas serta memastikan pengelolaannya dapat dilakukan secara aman dan berkelanjutan.</t>
  </si>
  <si>
    <t>Umur baterai sekitar 5–8 tahun; puncak timbulan baterai bekas diperkirakan sekitar 2040 apabila penggunaan EV meningkat masif.</t>
  </si>
  <si>
    <t>https://www.antaranews.com/berita/5726439/klh-bangun-ekosistem-pengelolaan-limbah-baterai-kendaraan-listrik</t>
  </si>
  <si>
    <t>Technology, Data &amp; Digital</t>
  </si>
  <si>
    <t>BYD masih menggunakan baterai LFP untuk kendaraan listrik di Indonesia meski produksi kendaraan sudah dimulai di Subang, sambil menyiapkan perakitan baterai lokal. Lokalisasi kendaraan berjalan lebih cepat daripada lokalisasi battery-cell technology; battery assembly disiapkan sebagai langkah pendalaman manufaktur.</t>
  </si>
  <si>
    <t>Saat ini BYD belum menggunakan NMC di lini Indonesia; baterai LFP Blade masih diproduksi global di Chongqing; fasilitas assembly baterai lokal direncanakan. | Issue: Local assembly belum sama dengan local cell manufacturing; technology readiness dan supplier ecosystem menjadi gap penting. | Local content: TKDN dapat meningkat melalui battery assembly, tetapi kedalaman local value-add perlu dipantau sampai level cell/material. | Manufacturing: Peluang dan tantangan bergeser dari vehicle assembly ke battery pack/assembly dan kesiapan teknologi baterai.</t>
  </si>
  <si>
    <t>https://otomotif.bisnis.com/read/20260904/46/2001459/byd-masih-andalkan-baterai-lfp-di-tengah-hilirisasi-nikel</t>
  </si>
  <si>
    <t>Simple Energy (Pendanaan &amp; Kapasitas)</t>
  </si>
  <si>
    <t>Simple Energy menghadapi lonjakan permintaan yang hampir tiga kali lipat, sementara kapasitas produksi menjadi kendala utama. Perusahaan sedang meningkatkan kapasitas manufaktur, vendor, dan battery assembly dengan dukungan pendanaan Series B ₹250 crore. Simple Energy menargetkan produksi/penjualan sekitar 10.000 unit per bulan pada Maret 2027.</t>
  </si>
  <si>
    <t>Series B: ₹250 crore | Kapasitas pabrik: ~3.000 unit/bulan | Produksi aktual: ~1.500–2.000 unit/bulan | Target: 10.000 unit/bulan pada Mar 2027</t>
  </si>
  <si>
    <t>TOI Auto</t>
  </si>
  <si>
    <t>https://auto.timesofindia.com/news/bikes/exclusive-simple-energys-demand-has-nearly-tripled-says-co-founder-shreshth-mishra-as-production-ramps-up/articleshow/133754306.cms</t>
  </si>
  <si>
    <t>Pemerintah / Luhut / Industri EV</t>
  </si>
  <si>
    <t>Pemerintah mendorong penguatan industri daur ulang baterai EV agar Indonesia tidak hanya menjadi pasar kendaraan listrik, tetapi juga mampu mengambil kembali material strategis dari baterai bekas untuk mendukung rantai pasok nasional.</t>
  </si>
  <si>
    <t>Fokus pada recovery material strategis, termasuk nikel, dari baterai kendaraan listrik.</t>
  </si>
  <si>
    <t>https://www.antaranews.com/berita/5724652/luhut-dorong-penguatan-industri-daur-ulang-baterai-kendaraan-listrik</t>
  </si>
  <si>
    <t>Kementerian Perindustrian / Pemerintah</t>
  </si>
  <si>
    <t>Pemerintah mulai mengkaji skema insentif kendaraan listrik yang mempertimbangkan tingkat TKDN sebagai basis pemberian insentif. Kebijakan diarahkan agar pengembangan pasar EV sekaligus memperkuat industri komponen dan rantai pasok domestik.</t>
  </si>
  <si>
    <t>Target minimum TKDN: 40% pada 2026, 60% pada 2027–2029, dan 80% pada 2030. Semakin tinggi TKDN, semakin besar perhatian pemerintah dalam persiapan insentif.</t>
  </si>
  <si>
    <t>https://www.antaranews.com/berita/5723901/pemerintah-kaji-insentif-kendaraan-listrik-berbasis-tkdn</t>
  </si>
  <si>
    <t>Pabrik BYD di Subang Smartpolitan diresmikan; perusahaan menyiapkan perakitan baterai di Indonesia dan menargetkan pemenuhan TKDN yang lebih tinggi. BYD bergerak dari vehicle assembly menuju kesiapan battery-related assembly dan pemenuhan TKDN 2027.</t>
  </si>
  <si>
    <t>Target TKDN 60% pada 2027; persiapan pemenuhan mulai Jan 2027. | Issue: Localization membutuhkan kesiapan supplier, engineering dan volume produksi. | Local content: Battery assembly menjadi salah satu lever peningkatan local content. | Manufacturing: Memperdalam value chain dari vehicle assembly ke battery assembly di Indonesia.</t>
  </si>
  <si>
    <t>ANTARA Jawa Barat</t>
  </si>
  <si>
    <t>https://jabar.antaranews.com/berita/705232/pabrik-byd-subang-diresmikan-berikutnya-siapkan-perakitan-baterai-di-ri</t>
  </si>
  <si>
    <t>Kementerian Perindustrian</t>
  </si>
  <si>
    <t>Kemenperin mendorong TKDN kendaraan listrik hingga 80% pada 2030 untuk memperkuat komponen domestik dan supply chain. Arah kebijakan ditegaskan agar Indonesia tidak berhenti pada tahap assembly, tetapi membangun rantai nilai yang lebih lengkap.</t>
  </si>
  <si>
    <t>Target TKDN hingga 80% pada 2030. | Issue: Risiko utama adalah lokalisasi yang dangkal jika supplier dan komponen bernilai tinggi belum berkembang. | Local content: Menempatkan domestic components dan supply chain sebagai inti peningkatan TKDN. | Manufacturing: Mendorong supplier ecosystem, engineering, component manufacturing dan integrasi rantai pasok.</t>
  </si>
  <si>
    <t>https://www.antaranews.com/berita/5723892/menperin-upayakan-tkdn-kendaraan-listrik-hingga-80-persen-di-2030</t>
  </si>
  <si>
    <t>Kemenperin menyatakan Indonesia memiliki modal untuk membangun industri EV secara utuh dari bahan baku, baterai, battery pack, manufaktur kendaraan hingga recycling. Narasi kebijakan bergeser dari vehicle assembly menuju full value-chain industrialization.</t>
  </si>
  <si>
    <t>Value chain mencakup raw materials, battery manufacturing, battery pack, EV manufacturing, domestic market dan recycling. | Issue: Koordinasi dan scale-up antar mata rantai menjadi kunci agar value chain tidak terfragmentasi. | Local content: Local content dapat meningkat signifikan bila multiple stages dilakukan domestically. | Manufacturing: Peluang membangun supplier network dan integrated manufacturing ecosystem.</t>
  </si>
  <si>
    <t>https://jatim.antaranews.com/berita/1095529/menperin-ri-punya-modal-kuat-bangun-industri-ev-secara-utuh</t>
  </si>
  <si>
    <t>Ola Electric (Insentif PLI &amp; Rencana Penggalangan Dana)</t>
  </si>
  <si>
    <t>Ola Electric menerima sanction order dari Kementerian Perindustrian Berat India untuk pencairan insentif Rs 95,81 crore di bawah skema Production Linked Incentive (PLI-Auto) untuk Demand Incentive tahun fiskal 2027 — tahun ketiga berturut-turut perusahaan menerima insentif PLI. Bersamaan dengan itu, saham Ola Electric naik ~2% setelah perusahaan mengumumkan dewan direksi akan membahas proposal penggalangan dana (fundraise) pada 5 September 2026, di tengah upaya perusahaan memperbaiki eksekusi dan arus kas setelah periode penurunan pangsa pasar.</t>
  </si>
  <si>
    <t>Insentif PLI-Auto FY27: Rs 95,81 crore | Insentif PLI sebelumnya: Rs 73,74 crore (FY24), Rs 366,78 crore (FY25) | Saham naik ~2% pada 3 Sep 2026 | Rapat dewan bahas fundraise: 5 September 2026</t>
  </si>
  <si>
    <t>BusinessToday</t>
  </si>
  <si>
    <t>https://www.businesstoday.in/markets/stocks/story/ola-electric-shares-rise-2-ahead-of-fundraise-meet-on-september-5-553030-2026-09-03</t>
  </si>
  <si>
    <t>Philippines</t>
  </si>
  <si>
    <t>Motorcycle Development Program Participants Association (MDPPA)</t>
  </si>
  <si>
    <t>Industri sepeda motor Filipina memperoleh peran lebih besar dalam pembentukan standar ASEAN setelah MDPPA ditunjuk memimpin Technical Committee for Motorcycle (AAF-TC5) hingga 2029. Komite ini melibatkan asosiasi industri Filipina, Indonesia, Malaysia dan Vietnam, sehingga dapat memengaruhi harmonisasi standar regional.</t>
  </si>
  <si>
    <t>Ketua AAF-TC5 hingga Mar 2029 | Anggota asosiasi: Filipina, Indonesia, Malaysia, Thailand, Vietnam | Jepang memberikan guidance/advisory | Fokus: standar &amp; regulasi sepeda motor ASEAN</t>
  </si>
  <si>
    <t>Context.ph</t>
  </si>
  <si>
    <t>Philippine motorcycle industry leads key ASEAN committee → Context.ph</t>
  </si>
  <si>
    <t>Hero MotoCorp x Ather Energy (Konsolidasi Kepemilikan)</t>
  </si>
  <si>
    <t>Koordinasi K/L &amp; Instansi</t>
  </si>
  <si>
    <t>Hero MotoCorp merampungkan pembelian tambahan saham Ather Energy senilai Rp1.758 crore dari pemegang saham lama (pihak penjual tidak diungkap), menaikkan kepemilikan penuh terdilusi Hero di Ather dari 29,88% menjadi sekitar 32,8%. Transaksi ini menyusul penempatan waran konversi senilai Rp960 crore ke Hero pada bulan yang sama, memperdalam keterlibatan strategis produsen motor konvensional terbesar India ini di salah satu pesaing utama segmen E2W listrik nasional.</t>
  </si>
  <si>
    <t>Saham dibeli: 1.188.000 lembar | Nilai transaksi: ~Rp1.758 crore | Kepemilikan Hero naik: 29,88% → ~32,8% | Transaksi rampung: 3 Sep 2026</t>
  </si>
  <si>
    <t>Storyboard18 / Mercom India / Business Standard / EMobility+</t>
  </si>
  <si>
    <t>Hero MotoCorp to raise Ather stake to 32.8% with Rs 1,758 Crore investment - Storyboard18</t>
  </si>
  <si>
    <t>AISMOLI (Penjualan Motor Listrik Nasional)</t>
  </si>
  <si>
    <t>BERJUANG</t>
  </si>
  <si>
    <t>Pasar &amp; Penjualan</t>
  </si>
  <si>
    <t>Aismoli mengungkap penjualan motor listrik domestik masih lesu: hingga Agustus 2026 baru tercatat 19.000 unit dari target 60.000 unit setahun penuh. Ketua Umum Aismoli Budi Setyadi menyebut penyebab utama adalah perilaku konsumen yang menunda pembelian sambil menunggu kepastian subsidi motor listrik — calon pembeli banyak yang datang ke dealer untuk bertanya soal subsidi, namun transaksi batal karena skema insentif belum jelas. Jadwal peluncuran insentif sendiri sudah berulang kali molor sejak direncanakan mulai Juni 2026.</t>
  </si>
  <si>
    <t>Realisasi penjualan s.d. Agustus 2026: 19.000 unit | Target setahun: 60.000 unit | Kekurangan capaian: perlu tambahan ~41.000 unit dalam 4 bulan tersisa | Jadwal subsidi mundur berkali-kali: Jun → Jul → Agu → Sep 2026</t>
  </si>
  <si>
    <t>WartaKini.co.id</t>
  </si>
  <si>
    <t>https://wartakini.co.id/detail/948884/penjualan-motor-listrik-lesu-aismoli-konsumen-menunggu-kepastian-subsidi</t>
  </si>
  <si>
    <t>Insentif Motor Listrik Rp3 Juta — Kuota &amp; PMK (Kemenko Perekonomian)</t>
  </si>
  <si>
    <t>REGULASI</t>
  </si>
  <si>
    <t>Regulasi &amp; Kebijakan</t>
  </si>
  <si>
    <t>Menko Perekonomian Airlangga Hartarto menegaskan insentif motor listrik masih menunggu terbitnya Peraturan Menteri Keuangan (PMK) sebagai payung hukum, tanpa dapat memastikan tanggal pasti pemberlakuannya meski tetap menargetkan September 2026. Skema insentif dilaporkan turun dari Rp5 juta menjadi Rp3 juta per unit, namun secara kuota justru naik dari semula 500 ribu unit menjadi 1 juta unit — sejalan dengan target Presiden Prabowo mendorong produksi 1 juta motor listrik lokal.</t>
  </si>
  <si>
    <t>Besaran insentif: turun dari Rp5 juta menjadi Rp3 juta/unit | Kuota: naik dari 500.000 menjadi 1.000.000 unit | Anggaran: Rp3 triliun | Status PMK: masih disusun Kemenkeu, tanggal pasti belum dapat dipastikan</t>
  </si>
  <si>
    <t>Uzone.id</t>
  </si>
  <si>
    <t>https://uzone.id/sudah-september-janji-insentif-motor-listrik-jadi-atau-ditunda-lagi</t>
  </si>
  <si>
    <t>AISMOLI / PLN</t>
  </si>
  <si>
    <t>AISMOLI mengusulkan insentif fiskal untuk pembangunan charging dan battery-swap station, terutama di luar Jawa dan wilayah yang belum layak secara komersial.</t>
  </si>
  <si>
    <t>Fokus luar Jawa; PLN dan pemerintah dapat menjadi penggerak pembangunan infrastruktur di wilayah dengan demand awal rendah.</t>
  </si>
  <si>
    <t>Liputan6</t>
  </si>
  <si>
    <t>Industri Motor Listrik Usul Insentif Fiskal Stasiun Swap di Luar Jawa</t>
  </si>
  <si>
    <t>AISMOLI / Pemerintah</t>
  </si>
  <si>
    <t>Infrastruktur penukaran baterai motor listrik masih sangat terkonsentrasi di Jawa. AISMOLI mendorong insentif agar investasi fasilitas charging/swapping dapat berkembang di luar Jawa.</t>
  </si>
  <si>
    <t>1.480 SPBKLU di Jawa vs hanya 1 unit di Nusa Tenggara; ESDM mencatat 1.907 SPBKLU nasional hingga Maret 2026.</t>
  </si>
  <si>
    <t>https://m.antaranews.com/amp/berita/5720795/aismoli-usulkan-insentif-fiskal-infrastruktur-motor-listrik-luar-jawa</t>
  </si>
  <si>
    <t>United E-Motor</t>
  </si>
  <si>
    <t>United E-Motor mulai menggunakan baterai lithium pada seluruh lini motor listriknya sebagai bagian dari standardisasi teknologi produk untuk mendukung konsistensi kualitas, efisiensi, dan performa kendaraan.</t>
  </si>
  <si>
    <t>Mulai September 2026, seluruh lini United E-Motor menggunakan baterai lithium.</t>
  </si>
  <si>
    <t>Medcom</t>
  </si>
  <si>
    <t>https://www.medcom.id/otomotif/motor/Wb7dpJnk-mulai-september-2026-seluruh-lini-united-e-motor-pakai-baterai-lithium</t>
  </si>
  <si>
    <t>Pertamina – Indonesia Battery Corporation</t>
  </si>
  <si>
    <t>Pertamina dan IBC menandatangani MoU untuk mengembangkan BESS, battery recycling/reuse dan teknologi baterai masa depan. Battery ecosystem diperluas dari EV application ke stationary storage dan circular applications.</t>
  </si>
  <si>
    <t>MoU mencakup BESS, recycling/reuse dan future battery technologies. | Issue: Model bisnis second-life dan recycling perlu feedstock, technology, standards dan economics yang jelas. | Local content: Memperpanjang nilai tambah baterai domestik setelah first life di kendaraan. | Manufacturing: Mendorong kemampuan domestik pada BESS integration, diagnostics, repurposing dan recycling.</t>
  </si>
  <si>
    <t>https://katadata.co.id/berita/energi/6a97827322aea/pertamina-masuk-ekosistem-baterai-bidik-bisnis-bess-hingga-daur-ulang-baterai</t>
  </si>
  <si>
    <t>Simple Energy (Simple Wave)</t>
  </si>
  <si>
    <t>Startup motor listrik asal Bengaluru, Simple Energy, resmi meluncurkan skuter listrik keluarga pertamanya, Simple Wave, menandai perluasan lini produk dari segmen performa tinggi (One/Ultra) ke segmen komuter massal. Peluncuran ini memposisikan Simple Energy untuk bersaing langsung dengan pemain besar segmen skuter keluarga seperti Ather Rizta, TVS iQube, dan Bajaj Chetak.</t>
  </si>
  <si>
    <t>Harga peluncuran: Rs 1,09 lakh (varian dasar) | Jarak tempuh tertinggi: 243 km (varian Wave+, baterai 5 kWh) | 4 pilihan ukuran baterai (2,2/2,7/5 kWh) | Kapasitas penyimpanan: 70 liter | Jaringan dealer saat ini: 75+ outlet di 63 kota</t>
  </si>
  <si>
    <t>Autocar India / Motoroids / EVIndia</t>
  </si>
  <si>
    <t>https://www.motoroids.com/news/simple-wave-launched-at-rs-1-09-lakh-gets-243km-range-and-70-litre-storage/</t>
  </si>
  <si>
    <t>TVS Motor / Bajaj Auto / Ather / Hero Vida</t>
  </si>
  <si>
    <t>TVS, Bajaj, Ather, dan Hero Vida mencatat lebih dari satu juta penjualan retail E2W gabungan dalam delapan bulan pertama 2026. Empat pemain tersebut menunjukkan konsolidasi pasar melalui skala manufaktur, distribusi, dan kekuatan merek.</t>
  </si>
  <si>
    <t>Gabungan Jan–Agustus 2026: 1.038.973 unit | Sekitar 76% pangsa pasar E2W India | TVS 356.579 | Bajaj 305.226 | Ather 229.099 | Vida 148.069</t>
  </si>
  <si>
    <t>Autocar India</t>
  </si>
  <si>
    <t>https://www.autocarindia.com/bike-news/tvs-bajaj-ather-and-vida-cross-1-million-combined-e2w-sales-in-2026-440625</t>
  </si>
  <si>
    <t>Pasar Motor Listrik India (Keseluruhan)</t>
  </si>
  <si>
    <t>Pasar EV India mencatat pertumbuhan kuat secara tahunan pada Agustus 2026, meski terjadi penurunan bulanan akibat faktor registrasi dan hari libur. Motor listrik roda-2 tetap jadi pendorong utama pertumbuhan EV nasional, dan produsen-produsen besar terus memperluas kapasitas untuk mengejar permintaan.</t>
  </si>
  <si>
    <t>5 besar E2W listed: +69% YoY jadi ~160.000 unit | Turun ~11% MoM | Penetrasi EV roda-2: 10,7%</t>
  </si>
  <si>
    <t>IBEF</t>
  </si>
  <si>
    <t>https://www.ibef.org/news/india-ev-sales-jump-51-in-august-as-robust-demand-drives-electric-car-and-2w-market-growth</t>
  </si>
  <si>
    <t>Kinetic Watts &amp; Volts</t>
  </si>
  <si>
    <t>Kinetic EV mulai mengevaluasi ekspansi motor listrik roda-2 ke sejumlah pasar internasional dengan pendekatan market-by-market berdasarkan potensi pasar, regulasi, kebutuhan konsumen, dan kemitraan lokal — termasuk tiga negara di Asia yang relevan sebagai peer Indonesia: Nepal, Sri Lanka, dan Bangladesh.</t>
  </si>
  <si>
    <t>45 showroom eksklusif di India saat ini | +40 outlet baru diperkirakan beroperasi dalam 2 bulan | Target awal ekspansi Asia: Nepal, Sri Lanka, Bangladesh</t>
  </si>
  <si>
    <t>EMobility+</t>
  </si>
  <si>
    <t>https://emobilityplus.com/2026/09/02/kinetic-ev-evaluates-international-expansion-across-europe-asia-and-africa/</t>
  </si>
  <si>
    <t>Program EV Department of Energy</t>
  </si>
  <si>
    <t>MIDSTREAM — Production / Supply</t>
  </si>
  <si>
    <t>Departemen Energi Filipina mengusulkan anggaran 2027 sebesar PHP5,58 miliar, naik 26%. Porsi program kendaraan listrik melonjak lebih dari tujuh kali menjadi PHP228,92 juta, dengan fokus yang semakin besar pada regulasi dan pengembangan jaringan charging station.</t>
  </si>
  <si>
    <t>Anggaran DOE 2027: PHP5,58 miliar | +26% | Program EV: PHP228,92 juta | Naik &gt;7x | Fokus: charging network</t>
  </si>
  <si>
    <t>BriefAsia</t>
  </si>
  <si>
    <t>https://www.briefasia.com/en/article/philippines-energy-budget-climbs-electric-vehicle-funding-surges</t>
  </si>
  <si>
    <t>Simple Energy – Wave</t>
  </si>
  <si>
    <t>Simple Energy memperluas pasar ke segmen family scooter melalui peluncuran Wave. Produk mulai ₹109.999 dengan klaim range hingga 243 km IDC dan menargetkan konsumen mass-market; pengiriman dijadwalkan mulai akhir September 2026.</t>
  </si>
  <si>
    <t>Harga mulai: ₹109.999 | Range hingga 243 km IDC | Storage: 70 liter | 3 varian / 6 konfigurasi | Delivery: akhir Sep 2026</t>
  </si>
  <si>
    <t>Times of India</t>
  </si>
  <si>
    <t>https://auto.timesofindia.com/news/bikes/simple-energy-launches-wave-family-scooter-with-243-km-idc-range-prices-start-at-rs-1-09-lakh/amp_articleshow/133706794.cms</t>
  </si>
  <si>
    <t>AISMOLI (Asosiasi Industri Sepeda Motor Listrik Indonesia) — Ekosistem MoLiNas</t>
  </si>
  <si>
    <t>AISMOLI mengusulkan pemerintah memberikan insentif fiskal untuk mendorong investasi infrastruktur pengisian daya (charging) dan penukaran baterai (swap) motor listrik, dengan fokus utama wilayah di luar Pulau Jawa dan area yang secara komersial belum layak bagi investor. PR &amp; Event Executive AISMOLI, Riniwaty Sinaga, menyebut pendekatan serupa sudah diterapkan di China untuk mempercepat pembangunan ekosistem sekaligus membuka pasar baru di wilayah yang infrastrukturnya masih tertinggal, agar pembangunan infrastruktur MoLiNas tidak hanya terkonsentrasi di daerah dengan jumlah pengguna yang sudah tinggi.</t>
  </si>
  <si>
    <t>Fokus usulan: insentif fiskal charging &amp; swap baterai di luar Jawa | Model rujukan: pendekatan China | Tujuan: percepat ekosistem MoLiNas &amp; buka pasar baru di daerah tertinggal | Diterbitkan: 2 Sep 2026, 18:20 WIB</t>
  </si>
  <si>
    <t>Liputan6.com</t>
  </si>
  <si>
    <t>https://www.liputan6.com/otomotif/read/8282989/industri-motor-listrik-usul-insentif-fiskal-stasiun-swap-di-luar-jawa</t>
  </si>
  <si>
    <t>Insentif Motor Listrik Rp3 Juta — payung hukum (ANTARA)</t>
  </si>
  <si>
    <t>[Ditandai: sumber ini menyebut payung hukum insentif sebagai 'Perpres', berbeda dengan sumber Liputan6 di entri No.29 yang menyebutnya 'PMK' (Peraturan Menteri Keuangan) — kemungkinan salah satu sumber keliru atau memang ada dua tahap regulasi berbeda; belum diverifikasi lebih lanjut mana yang akurat] Implementasi insentif motor listrik dilaporkan masih menunggu kepastian payung hukum. Pemerintah menyiapkan anggaran Rp3 triliun untuk insentif Rp3 juta per unit bagi pembelian motor listrik produksi dalam negeri, dengan target sekitar 1 juta unit penerima.
  [Update klarifikasi per 5 Sep 2026 — bukan sumber keliru]: Artikel itera.ac.id (5 Sep 2026, merujuk berbagai sumber primer) mengonfirmasi bahwa yang dibutuhkan BUKAN salah satu antara PMK atau Perpres, melainkan RANGKAIAN dasar hukum (Perpres sebagai payung + PMK sebagai aturan teknis pelaksana) — sehingga entri ini (ANTARA, ttg Perpres) dan entri No.30/34 (Liputan6, ttg PMK) SAMA-SAMA akurat dan saling melengkapi, bukan kontradiksi. Dirjen EBTKE Eniya Listiani Dewi menyebut kebutuhan Perpres pada 2 Sep 2026; Wamenperin Faisol Riza tetap menyebut PMK 'hampir selesai' pada tanggal yang sama — kedua pejabat membahas lapisan regulasi berbeda dalam satu paket kebijakan.</t>
  </si>
  <si>
    <t>Nilai insentif: Rp3 juta/unit | Target penerima: ~1 juta unit | Anggaran: Rp3 triliun | Payung hukum disebut sumber ini: Perpres (bandingkan dgn No.29: PMK) | Status: menunggu penyelesaian regulasi</t>
  </si>
  <si>
    <t>https://m.antaranews.com/amp/berita/5722749/insentif-motor-listrik-tunggu-perpres-kementerian-siapkan-konsep</t>
  </si>
  <si>
    <t>AISMOLI</t>
  </si>
  <si>
    <t>AISMOLI mengusulkan insentif fiskal untuk mendorong investasi charging dan battery swapping, khususnya di luar Jawa dan wilayah yang secara komersial belum feasible. Ini menyoroti bahwa ekspansi E2W membutuhkan dukungan infrastruktur, bukan hanya subsidi kendaraan.</t>
  </si>
  <si>
    <t>Target utama: charging &amp; swapping | Fokus wilayah luar Jawa / commercially unfeasible areas</t>
  </si>
  <si>
    <t>JawaPos / ANTARA</t>
  </si>
  <si>
    <t>https://www.jawapos.com/oto-dan-tekno/2609010500/aismoli-usulkan-insentif-fiskal-infrastruktur-motor-listrik-di-luar-jawa</t>
  </si>
  <si>
    <t>OMOWAY</t>
  </si>
  <si>
    <t>HILIR — After-sales / Service</t>
  </si>
  <si>
    <t>OMOWAY memperluas ekosistem downstream motor listrik melalui jaringan dealer 3S yang mengintegrasikan penjualan, servis, dan suku cadang serta mendukung penguatan layanan purnajual.</t>
  </si>
  <si>
    <t>&gt;20 pusat layanan 3S di Indonesia, mencakup Jakarta, Bandung, Surabaya, Bali dan kota besar lainnya.</t>
  </si>
  <si>
    <t>detikOto</t>
  </si>
  <si>
    <t>https://oto.detik.com/motor/d-8643901/kini-makin-mudah-cari-motor-listrik-i-self-balancing-i-pertama-di-indonesia</t>
  </si>
  <si>
    <t>Danantara Investment Management × VKTR × Bakrie &amp; Brothers</t>
  </si>
  <si>
    <t>Danantara, VKTR dan Bakrie &amp; Brothers menandatangani term sheet untuk penjajakan investasi hingga Rp2 triliun bagi percepatan ekosistem kendaraan listrik. Menambah bukti bahwa domestic capital/investment institutions mulai berperan dalam pembangunan ekosistem EV nasional.</t>
  </si>
  <si>
    <t>Potensi pendanaan hingga Rp2 triliun; term sheet diteken 28 Aug 2026; diumumkan 2 Sep 2026. | Issue: Perlu dibedakan antara investasi kendaraan komersial dan direct E2W manufacturing. | Local content: Lebih relevan sebagai konteks industrial-financing ecosystem daripada core E2W local content. | Manufacturing: Memberi benchmark pola pembiayaan Danantara untuk scale-up manufaktur EV.</t>
  </si>
  <si>
    <t>https://www.danantaraindonesia.co.id/id/media-center/press-releases/dim-vktr-ev-mobility-collaboration?utm_source</t>
  </si>
  <si>
    <t>Pemerintah RI / Kementerian Keuangan / Kementerian Perindustrian</t>
  </si>
  <si>
    <t>Per 1 September 2026, insentif motor listrik yang direncanakan mulai September belum memiliki PMK sebagai payung hukum, sehingga belum resmi berjalan. Status ini penting karena demand uncertainty menjadi salah satu hambatan scale-up manufacturing E2W yang juga disebut industri.</t>
  </si>
  <si>
    <t>Rencana insentif sekitar Rp3 juta/unit; anggaran sekitar Rp3 triliun; kapasitas produksi nasional 2026 diperkirakan sekitar 100 ribu unit. | Issue: Timing dan kepastian regulasi menentukan demand, utilisasi pabrik dan keekonomian supplier lokal. | Local content: Jika insentif dikaitkan dengan TKDN, dapat menjadi demand-side lever sekaligus localization lever. | Manufacturing: Kepastian volume pasar dibutuhkan agar investasi cell, controller dan critical components lokal mencapai economies of scale.</t>
  </si>
  <si>
    <t>detikOto / ANTARA</t>
  </si>
  <si>
    <t>https://oto.detik.com/motor-listrik/d-8643390/sudah-masuk-september-insentif-motor-listrik-jadi-berlaku</t>
  </si>
  <si>
    <t>Pertamina – IBC</t>
  </si>
  <si>
    <t>Pertamina dan IBC memperluas kerja sama baterai ke pemulihan material kritis, recycle/reuse manufacturing, BESS, sodium-ion dan solid-state battery. Scope ecosystem bergerak dari EV battery saat ini menuju circular manufacturing dan next-generation chemistry.</t>
  </si>
  <si>
    <t>Kajian fasilitas recycle/reuse; critical-material recovery; BESS; sodium-ion; solid-state. | Issue: Teknologi, standardisasi, economics dan feedstock menjadi tantangan scale-up. | Local content: Memperluas domestic value creation setelah first-life dan membuka capability baru di battery technology. | Manufacturing: Potensi fasilitas recycling/reuse dan R&amp;D/manufacturing next-generation battery.</t>
  </si>
  <si>
    <t>https://ekonomi.bisnis.com/read/20260901/44/2000350/pertamina-dan-ibc-kembangkan-teknologi-daur-ulang-baterai-bekas</t>
  </si>
  <si>
    <t>TVS, Bajaj, Ather &amp; Hero Vida</t>
  </si>
  <si>
    <t>Empat pemain utama India semakin mengonsolidasikan pasar E2W. TVS, Bajaj, Ather dan Hero Vida mencatat total 1,04 juta penjualan retail pada Jan–Agu 2026, tumbuh 84% YoY dan menguasai sekitar 76% pasar E2W India.</t>
  </si>
  <si>
    <t>Penjualan 4 pemain: 1.038.973 unit | +84% YoY | Pangsa pasar: ~76% | Total pasar E2W Jan–Agu: ~1,36 juta unit</t>
  </si>
  <si>
    <t>https://www.autocarindia.com/bike-news-amp/tvs-bajaj-ather-and-vida-cross-1-million-combined-e2w-sales-in-2026-440625</t>
  </si>
  <si>
    <t>Kemenkeu / Kemenperin</t>
  </si>
  <si>
    <t>Menteri Keuangan memastikan anggaran insentif motor listrik tersedia, tetapi penyalurannya masih menunggu masukan Kemenperin dan penyusunan PMK.</t>
  </si>
  <si>
    <t>Anggaran Rp3 triliun; implementasi masih menunggu masukan Kemenperin + PMK.</t>
  </si>
  <si>
    <t>Purbaya Pastikan Anggaran Insentif Motor Listrik Rp3 Triliun</t>
  </si>
  <si>
    <t>Multifinance / Konsumen</t>
  </si>
  <si>
    <t>Ekonom memperingatkan bahwa kemudahan pembiayaan dan DP 0% tidak otomatis menjamin penjualan sehat dan berpotensi meningkatkan risiko kredit bermasalah.</t>
  </si>
  <si>
    <t>Risiko NPL meningkat jika kemampuan bayar konsumen tidak diperhitungkan; DP 0% tidak otomatis menciptakan demand.</t>
  </si>
  <si>
    <t>Warta Ekonomi</t>
  </si>
  <si>
    <t>Subsidi Pembiayaan Molinas Saja Tak Cukup, NPL Multifinance Terancam Bisa Memburuk</t>
  </si>
  <si>
    <t>Konsumen / Industri E2W</t>
  </si>
  <si>
    <t>DP 0% dan bunga rendah dinilai belum cukup untuk mendorong penjualan apabila daya beli masyarakat masih lemah.</t>
  </si>
  <si>
    <t>Affordability ≠ demand; daya beli tetap menjadi faktor utama penyerapan.</t>
  </si>
  <si>
    <t>DP 0% Motor Listrik Dinilai Percuma Jika Daya Beli Lemah</t>
  </si>
  <si>
    <t>BRIN / NBRI</t>
  </si>
  <si>
    <t>Pertumbuhan kendaraan listrik di Indonesia belum sejalan dengan perkembangan industri baterai domestik. Evvy Kartini, profesor BRIN sekaligus Founder NBRI, menilai pembangunan industri baterai perlu terhubung dengan industri kendaraan listrik domestik agar baterai yang diproduksi di Indonesia memiliki pasar dan dapat membentuk rantai nilai nasional.</t>
  </si>
  <si>
    <t>HLI memiliki kapasitas 10 GWh; sekitar 99% produksinya telah memiliki tujuan penggunaan Hyundai; kebutuhan utama adalah menghubungkan produksi baterai domestik dengan industri kendaraan/MoLiNas.</t>
  </si>
  <si>
    <t>JawaPos</t>
  </si>
  <si>
    <t>Industri Baterai Lokal Tertinggal Padahal Mobil Listrik Melaju Pesat</t>
  </si>
  <si>
    <t>Evvy Kartini menekankan bahwa industri baterai membutuhkan kepastian regulasi dan insentif karena perubahan kebijakan dapat mengubah perhitungan bisnis investor dan berisiko menghambat investasi industri baterai nasional.</t>
  </si>
  <si>
    <t>Regulatory certainty menjadi faktor penting dalam keputusan investasi; perubahan aturan setelah investasi dapat mengubah business case investor.</t>
  </si>
  <si>
    <t>Investor Industri Baterai Bisa Kabur, Regulasi RI Dinilai Belum Memberi Kepastian</t>
  </si>
  <si>
    <t>Indonesia–Malaysia</t>
  </si>
  <si>
    <t>Baterai Nusantara / NBRI / BRIN</t>
  </si>
  <si>
    <t>Indonesia dan Malaysia mengembangkan Baterai Nusantara sebagai bagian dari upaya membangun ekosistem baterai ASEAN yang lebih mandiri. Prof. BRIN sekaligus Founder NBRI Evvy Kartini terlibat dalam pembahasan pembagian kapabilitas dan pengembangan ekosistem baterai kawasan.</t>
  </si>
  <si>
    <t>26–28 Agu 2026 International Battery Summit; Indonesia berpotensi berkontribusi pada material/katoda, sementara Malaysia memiliki fasilitas pilot untuk produksi sel baterai.</t>
  </si>
  <si>
    <t>Baterai Nusantara dorong kemandirian ekosistem baterai di ASEAN</t>
  </si>
  <si>
    <t>INDEF / Industri E2W</t>
  </si>
  <si>
    <t>INDEF mengingatkan bahwa kewajiban penggunaan baterai NMC/nickel dapat meningkatkan biaya motor listrik dan berpotensi menghambat adopsi massal apabila harga baterai masih tinggi.</t>
  </si>
  <si>
    <t>NMC relevan dengan hilirisasi nikel, tetapi biaya baterai menjadi isu harga; perlu keseimbangan TKDN, teknologi, dan affordability.</t>
  </si>
  <si>
    <t>INDEF Ingatkan Baterai NMC Bisa Bikin Harga MOLINAS Mahal</t>
  </si>
  <si>
    <t>Danantara / Gojek / Grab</t>
  </si>
  <si>
    <t>Perizinan &amp; Regulatory Readiness</t>
  </si>
  <si>
    <t>Danantara mengungkap sejumlah kendala teknis masih menghambat adopsi motor listrik oleh pengemudi ojol. Pengembangan MoLiNas melibatkan aplikator seperti Gojek dan Grab.</t>
  </si>
  <si>
    <t>Kendala antara lain performa tanjakan dan kecukupan baterai untuk kebutuhan ojol.</t>
  </si>
  <si>
    <t>Biang Kerok Ojol Ogah Hijrah ke Motor Listrik</t>
  </si>
  <si>
    <t>ALVA / GESITS / PT Len / IBC / WIKA</t>
  </si>
  <si>
    <t>Kajian pascapeluncuran mengidentifikasi ALVA, GESITS, PT Len dan pemain terkait sebagai bagian dari lanskap produsen/ekosistem MoLiNas.</t>
  </si>
  <si>
    <t>Penjualan motor listrik 2025 sekitar 55 ribu unit; hingga Agustus 2026 sekitar 25 ribu unit; pangsa pasar masih &lt;1%.</t>
  </si>
  <si>
    <t>Ancang-Ancang Motor Listrik Nasional di Tengah Tren Penurunan Minat Konsumen</t>
  </si>
  <si>
    <t>Kementerian Keuangan / Kementerian Perindustrian</t>
  </si>
  <si>
    <t>Pemerintah menyiapkan insentif motor listrik Rp3 juta/unit, tetapi aturan teknis belum final; kapasitas produksi nasional diperkirakan baru sekitar 100 ribu unit pada 2026. Ada potensi mismatch antara skala anggaran insentif dan kemampuan supply/manufacturing domestik.</t>
  </si>
  <si>
    <t>Anggaran sekitar Rp3 triliun; potensi hingga 1 juta unit secara matematis; kapasitas produksi sekitar 100 ribu unit pada 2026. | Issue: Demand support harus sinkron dengan supply capacity agar tidak menghasilkan target yang tidak realistis. | Local content: Memberi konteks bahwa manufacturing capacity menjadi constraint bagi efektivitas insentif. | Manufacturing: Menunjukkan pentingnya utilization rate dan scale-up capacity sebelum supplier localization dapat ekonomis.</t>
  </si>
  <si>
    <t>https://m.antaranews.com/amp/berita/5711172/daftar-motor-listrik-yang-berpeluang-dapat-insentif-rp3-juta</t>
  </si>
  <si>
    <t>RMI / OJK ecosystem</t>
  </si>
  <si>
    <t>Studi RMI menemukan pembiayaan motor listrik masih terbatas dan terkonsentrasi pada sedikit multifinance; risiko teknologi, resale value, demand dan policy membuat lender berhati-hati. Ini menjelaskan mengapa manufacturing scale dan supplier localization tidak bisa dipisahkan dari financing availability.</t>
  </si>
  <si>
    <t>EV financing keseluruhan +34,7% YoY menjadi Rp24,60 triliun per Jun 2026; E2W masih minim bank involvement. | Issue: Demand uncertainty dan residual-value risk menghambat scale-up. | Local content: Financing readiness menjadi enabler tidak langsung bagi domestic manufacturing. | Manufacturing: Tanpa demand financing, supplier investment untuk critical components sulit mencapai scale economics.</t>
  </si>
  <si>
    <t>https://www.liputan6.com/otomotif/read/8276816/molinas-digenjot-kredit-motor-listrik-masih-sangat-sulit?utm_</t>
  </si>
  <si>
    <t>PermataBank / Danantara</t>
  </si>
  <si>
    <t>Rencana pemberian DP 0% untuk motor listrik nasional dinilai perlu diterapkan secara selektif karena terdapat risiko kredit apabila diberlakukan tanpa mempertimbangkan kualitas debitur.</t>
  </si>
  <si>
    <t>DP 0% dinilai lebih tepat diberikan secara selektif kepada debitur berkualitas; perlu memperhatikan risiko kredit dan kemampuan bayar.</t>
  </si>
  <si>
    <t>kumparanOTO</t>
  </si>
  <si>
    <t>Ekonom Wanti-wanti Dampak DP 0 Persen Motor Listrik Nasional</t>
  </si>
  <si>
    <t>Danantara – Ardy Rachman</t>
  </si>
  <si>
    <t>Build in Indonesia Danantara menegaskan harapan agar motor listrik benar-benar dibangun di Indonesia dan memiliki production facility domestik untuk mendapatkan TKDN.</t>
  </si>
  <si>
    <t>Pesan ini menekankan bahwa status Molinas diarahkan pada actual manufacturing footprint, bukan sekadar branding nasional. | Issue: Pernyataan Danantara 20 Aug 2026; production facility domestik ditekankan. | Local content: Perlu membedakan local assembly dari genuine manufacturing depth. | Manufacturing: Menguatkan prinsip bahwa domestic production facility adalah enabler TKDN.</t>
  </si>
  <si>
    <t>Mendorong investasi plant, tooling, process engineering dan local supplier base.</t>
  </si>
  <si>
    <t>https://otomotif.bisnis.com/read/20260821/273/1997989/danantara-ungkap-rencana-pengembangan-ekosistem-motor-listrik-nasional</t>
  </si>
  <si>
    <t>CATIB (IBC + CATL-Brunp-Lygend)</t>
  </si>
  <si>
    <t>CATIB Karawang Battery Cell Plant ESDM menyebut pembangunan pabrik sel baterai EV CATIB di Karawang berkapasitas 6,9 GWh per tahun telah rampung dan menunggu jadwal peresmian.</t>
  </si>
  <si>
    <t>Ini adalah milestone manufaktur paling konkret untuk cell battery production domestik dan perlu dipisahkan dari sekadar battery pack assembly. | Issue: 6,9 GWh/tahun; lokasi Karawang; joint venture IBC + CATL-Brunp-Lygend. | Local content: Kunci berikutnya adalah ramp-up produksi, yield, quality, local input dan keterhubungan dengan OEM. | Manufacturing: Memperdalam TKDN dari pack/assembly menuju battery cell manufacturing.</t>
  </si>
  <si>
    <t>Membentuk capability produksi cell, quality control, engineering, supply chain dan tenaga kerja battery manufacturing.</t>
  </si>
  <si>
    <t>https://megapolitan.antaranews.com/berita/546151/esdm-pembangunan-pabrik-baterai-ev-di-karawang-sudah-selesai</t>
  </si>
  <si>
    <t>Kemenko Perekonomian / Atong Soekirman</t>
  </si>
  <si>
    <t>MoLiNas Component Criteria Kemenko Perekonomian menetapkan empat kriteria MoLiNas; salah satunya TKDN di atas 60% yang mencakup powertrain, frame/structure, plastik dan body panel.</t>
  </si>
  <si>
    <t>Ini memperjelas komponen non-battery yang dianggap penting dalam national E2W program. | Issue: TKDN &gt;60%; komponen yang disebut: powertrain, frame/structure, plastics dan body panel. | Local content: Lokalisasi perlu diperluas dari battery ke mechanical and electrical vehicle components. | Manufacturing: Membuka ruang pengukuran local content pada powertrain, frame, plastics dan body sebagai bagian strategis.</t>
  </si>
  <si>
    <t>Berpotensi meningkatkan order domestik untuk metal fabrication, plastics, body parts dan powertrain suppliers.</t>
  </si>
  <si>
    <t>https://www.antaranews.com/berita/5703504/kemenko-perekonomian-ungkap-empat-kriteria-motor-listrik-nasional?page=1</t>
  </si>
  <si>
    <t>Kemenko Perekonomian – Atong Soekirman</t>
  </si>
  <si>
    <t>Kemenko Perekonomian menyebut target kapasitas produksi Molinas sekitar 100.000 unit per tahun, dengan TKDN 40% dan diarahkan meningkat ke 60%. Ini memberi baseline capacity untuk menilai apakah supplier/component ecosystem mampu mencapai economies of scale.</t>
  </si>
  <si>
    <t>Target capacity 100.000 unit/tahun; TKDN 40% diarahkan menjadi 60%. | Issue: Scale-up harus sejalan dengan demand dan kesiapan supplier lokal. | Local content: Menjadi benchmark volume terhadap kebutuhan local supplier dan critical-component investment. | Manufacturing: 100k unit/tahun dapat menjadi anchor demand untuk frame, plastics, powertrain, controller, electrical dan battery suppliers.</t>
  </si>
  <si>
    <t>https://www.antaranews.com/berita/5703409/kemenko-perekonomian-sebut-molinas-hemat-subsidi-bbm-rp822-triliun</t>
  </si>
  <si>
    <t>Kemenko Perekonomian / PT Len Industri</t>
  </si>
  <si>
    <t>Pemerintah memperkirakan permintaan motor listrik akan meningkat signifikan dan menjadi salah satu basis pengembangan skala produksi MoLiNas.</t>
  </si>
  <si>
    <t>Proyeksi demand 1,5 juta unit pada 2028; populasi motor konvensional 145,25 juta unit; penetrasi motor listrik 229.554 unit hingga Des-2025.</t>
  </si>
  <si>
    <t>Kemenko Perekonomian Ungkap Empat Kriteria Motor Listrik Nasional</t>
  </si>
  <si>
    <t>Kemenko Perekonomian / Danantara / PT Len Industri</t>
  </si>
  <si>
    <t>Pemerintah memperkirakan pengembangan ekosistem MoLiNas memberikan dampak ekonomi melalui peningkatan aktivitas industri, penciptaan lapangan kerja, substitusi impor minyak, dan pengurangan subsidi BBM.</t>
  </si>
  <si>
    <t>Potensi nilai ekonomi Rp150 triliun (2026–2031); sekitar 215.000 lapangan kerja; substitusi impor minyak Rp45 triliun; potensi penghematan subsidi BBM Rp82,2 triliun (2027–2037).</t>
  </si>
  <si>
    <t>Kemenko Perekonomian Sebut Molinas Hemat Subsidi BBM Rp82,2 Triliun</t>
  </si>
  <si>
    <t>BCA Finance</t>
  </si>
  <si>
    <t>BCA Finance menyatakan masih mempelajari program MoLiNas dan belum menentukan bentuk kontribusi yang akan diberikan.</t>
  </si>
  <si>
    <t>Status kontribusi: belum ditentukan; BCA Finance masih mengkaji bentuk dukungannya terhadap program MoLiNas.</t>
  </si>
  <si>
    <t>BCA Finance masih mempelajari program Molinas</t>
  </si>
  <si>
    <t>Kementerian Perindustrian / Kannindo Metal / Multikon Rekatama</t>
  </si>
  <si>
    <t>IKM masuk supply chain MoLiNas Dua IKM binaan Kemenperin sudah memasok komponen box baterai dan bracket baterai untuk Molinas Alva.</t>
  </si>
  <si>
    <t>Bukti konkret bahwa localization mulai turun ke supplier domestik, bukan hanya OEM. | Issue: 2 IKM; komponen: battery box dan battery bracket. | Local content: Supplier IKM masih perlu peningkatan teknologi, kualitas, produktivitas dan akses order berkelanjutan. | Manufacturing: Menunjukkan domestic value creation dapat dibangun melalui tier supplier lokal.</t>
  </si>
  <si>
    <t>Peluang untuk metal fabrication, stamping, bracket, enclosure dan component tooling.</t>
  </si>
  <si>
    <t>https://www.liputan6.com/otomotif/read/8275025/perkuat-industri-komponen-ikm-lokal-bisa-tembus-rantai-pasok-molinas</t>
  </si>
  <si>
    <t>Kementerian Perindustrian + Polytron + 60 IKM</t>
  </si>
  <si>
    <t>HULU — Supplier / Tier 2–3</t>
  </si>
  <si>
    <t>Temu bisnis Kemenperin–Polytron mempertemukan 60 IKM komponen roda dua; penjajakan mencakup jok, plastic housing, mold &amp; dies stamping dan komponen pendukung. Memberi peta konkret calon supplier non-battery yang bisa masuk supply chain E2W.</t>
  </si>
  <si>
    <t>60 IKM; komponen: seat, plastic housing, mold &amp; dies stamping, dll. | Issue: Backup candidate: use if deeper detail on this manufacturing/policy angle is requested. | Local content: Provides additional evidence for local-content / manufacturing ecosystem discussion. | Manufacturing: Memberi peta konkret calon supplier non-battery yang bisa masuk supply chain E2W.</t>
  </si>
  <si>
    <t>Kemenperin – Ditjen IKMA</t>
  </si>
  <si>
    <t>https://ikm.kemenperin.go.id/kemenperin-buka-jalan-ikm-masuk-rantai-pasok-kendaraan-listrik</t>
  </si>
  <si>
    <t>ITB / Yannes Martinus Pasaribu</t>
  </si>
  <si>
    <t>Fragmentasi Komponen &amp; Teknologi ITB menilai tantangan Molinas bukan hanya jumlah pabrik, tetapi fragmentasi rantai nilai ketika tiap merek membangun baterai, konektor, software dan ekosistem sendiri.</t>
  </si>
  <si>
    <t>Ini mengidentifikasi kebutuhan standardisasi/interoperability sebagai enabler scale-up E2W. | Issue: Komponen/sistem yang disebut: battery, connector, software, battery swap; isu juga mencakup home charging dan after-sales. | Local content: Fragmentasi menaikkan biaya dan menghambat economies of scale. | Manufacturing: Local content akan lebih efektif bila critical components memiliki standard dan interoperability lintas brand.</t>
  </si>
  <si>
    <t>Peluang standardisasi connector, battery interface, BMS/software communication dan service ecosystem.</t>
  </si>
  <si>
    <t>https://otomotif.bisnis.com/read/20260816/273/1996651/menakar-prospek-dan-tantangan-motor-listrik-nasional</t>
  </si>
  <si>
    <t>BRIN mengembangkan artificial graphite dari limbah batu bara sebagai bahan baku baterai dan mengembangkan baterai Li-ion Generasi 5V untuk mendukung ekosistem kendaraan listrik nasional.</t>
  </si>
  <si>
    <t>96,8% tingkat kesesuaian struktur artificial graphite; pengembangan Li-ion Battery Generasi 5V; pemanfaatan limbah batu bara sebagai material baterai.</t>
  </si>
  <si>
    <t>Dukung kendaraan listrik, BRIN riset baterai dari limbah batu bara</t>
  </si>
  <si>
    <t>Indomobil eMotor</t>
  </si>
  <si>
    <t>Indomobil eMotor menyatakan seluruh lini produknya dirakit di fasilitas National Assembler Cakung dan mencatat TKDN 50%. Useful company-level benchmark: current local assembly and TKDN level outside the headline Molinas players.</t>
  </si>
  <si>
    <t>TKDN 50%; assembly facility Cakung, Jakarta Timur. | Issue: Backup candidate: use if deeper detail on this manufacturing/policy angle is requested. | Local content: Provides additional evidence for local-content / manufacturing ecosystem discussion. | Manufacturing: Useful company-level benchmark: current local assembly and TKDN level outside the headline Molinas players.</t>
  </si>
  <si>
    <t>Naik Motor</t>
  </si>
  <si>
    <t>https://naikmotor.com/286185/tkdn-50-persen-indomobil-emotor-perkuat-ekosistem-motor-listrik/3/?utm_source=chatgpt.com</t>
  </si>
  <si>
    <t>AISMOLI / Industri E2W</t>
  </si>
  <si>
    <t>Industri E2W Indonesia dinilai sudah mampu memproduksi/merakit sebagian besar komponen lokal, tetapi masih bergantung pada impor untuk battery cell dan sebagian controller. Berita ini memberikan gap paling jelas untuk manufacturing E2W: pack sudah bisa lokal, tetapi cell masih impor dan controller mulai dilokalkan.</t>
  </si>
  <si>
    <t>Sebagian besar komponen dapat dibuat/dirakit lokal; battery cell masih impor; controller masih sebagian impor; TKDN 60% ditargetkan 2027. | Issue: Cell battery dan controller menjadi bottleneck localization; scale dan supplier capability perlu dikejar. | Local content: Menunjukkan bahwa headline TKDN tinggi belum berarti seluruh critical components sudah domestik. | Manufacturing: Prioritas manufacturing: cell, controller dan supplier critical components; United disebut mulai mengembangkan controller lokal.</t>
  </si>
  <si>
    <t>https://otomotif.bisnis.com/read/20260814/273/1996290/program-motor-listrik-nasional-seberapa-siap-industri-dalam-negeri</t>
  </si>
  <si>
    <t>BPI Danantara / Himbara</t>
  </si>
  <si>
    <t>Danantara menyebut Himbara siap mendukung pendanaan Molinas dan opsi pengurangan/peniadaan DP untuk mendorong pembelian. Financing is an ecosystem lever: demand support dapat mempercepat produksi dan memperbaiki scale economics.</t>
  </si>
  <si>
    <t>DP 10% direncanakan dikurangi bahkan dihilangkan; Himbara disebut siap mendukung. | Issue: Backup candidate: use if deeper detail on this manufacturing/policy angle is requested. | Local content: Provides additional evidence for local-content / manufacturing ecosystem discussion. | Manufacturing: Financing is an ecosystem lever: demand support dapat mempercepat produksi dan memperbaiki scale economics.</t>
  </si>
  <si>
    <t>https://www.antaranews.com/berita/5692776/danantara-sebut-himbara-siap-beri-dukungan-pendanaan-untuk-molinas</t>
  </si>
  <si>
    <t>Pemerintah meluncurkan MoLiNas beserta ekosistem pendukungnya sebagai langkah strategis untuk memperkuat industri nasional, penguasaan teknologi, ketahanan energi, dan nilai tambah domestik. Pengembangan MoLiNas melibatkan pemerintah, BUMN, perusahaan nasional, swasta, dan akademisi.</t>
  </si>
  <si>
    <t>20.000 unit produksi ALVA; pengembangan diarahkan pada penguatan teknologi, industri domestik, ketahanan energi, dan nilai tambah nasional.</t>
  </si>
  <si>
    <t>Sekretariat Kabinet RI</t>
  </si>
  <si>
    <t>https://setkab.go.id/en/president-prabowo-launches-national-electric-motorcycle-molinas/</t>
  </si>
  <si>
    <t>MoLiNas / Pengguna EV</t>
  </si>
  <si>
    <t>Pengemudi ojek daring dan kurir yang menggunakan kendaraan listrik merasakan manfaat terutama dari efisiensi biaya operasional. Penggunaan EV dinilai berpotensi mendukung perluasan adopsi kendaraan listrik melalui segmen pengguna dengan intensitas pemakaian tinggi.</t>
  </si>
  <si>
    <t>Biaya operasional kurir Pos Indonesia ±Rp750 ribu/bulan menggunakan kendaraan fosil vs ±Rp250 ribu/bulan dengan EV — sekitar 67% lebih rendah.</t>
  </si>
  <si>
    <t>Sekretariat Negara RI</t>
  </si>
  <si>
    <t>https://www.setneg.go.id/baca/index/efisiensi_biaya_hingga_ramah_lingkungan_pengguna_dukung_peluncuran_motor_listrik_nasional</t>
  </si>
  <si>
    <t>Pemerintah RI / ALVA</t>
  </si>
  <si>
    <t>Peluncuran MoLiNas menekankan ekosistem nasional yang mencakup manufaktur kendaraan, baterai, charging dan after-sales. Program E2W nasional diarahkan membangun ekosistem, bukan hanya menjual kendaraan.</t>
  </si>
  <si>
    <t>Scope ekosistem: vehicle manufacturing, batteries, charging dan after-sales. | Issue: Ekosistem harus scalable dan commercially viable setelah program/incentive support. | Local content: Membuka ruang peningkatan domestic value across multiple ecosystem layers. | Manufacturing: Mendorong integrasi manufacturing, battery, charging dan service network.</t>
  </si>
  <si>
    <t>The Jakarta Post</t>
  </si>
  <si>
    <t>https://www.thejakartapost.com/business/2026/08/13/prabowo-kicks-off-e-motorcycle-ecosystem-to-push-nickel-use</t>
  </si>
  <si>
    <t>Kemenperin / Industri E2W</t>
  </si>
  <si>
    <t>Indonesia memiliki basis industri E2W yang jauh lebih besar daripada volume penjualan saat ini. Penting untuk menilai capacity utilization dan potensi economies of scale supplier.</t>
  </si>
  <si>
    <t>69 perusahaan industri KBLBB roda 2/3; kapasitas 2,511 juta unit/tahun; investasi sekitar Rp1,2 triliun. | Issue: Backup candidate: use if deeper detail on this manufacturing/policy angle is requested. | Local content: Provides additional evidence for local-content / manufacturing ecosystem discussion. | Manufacturing: Penting untuk menilai capacity utilization dan potensi economies of scale supplier.</t>
  </si>
  <si>
    <t>https://www.antaranews.com/berita/5704976/molinas-babak-baru-industrialisasi-kendaraan-listrik-indonesia</t>
  </si>
  <si>
    <t>BPI Danantara / Rosan Roeslani</t>
  </si>
  <si>
    <t>Rosan menilai pasar motor listrik Indonesia berpotensi mencapai US$170 miliar dan menyebut sekitar 10 perusahaan nasional sudah memenuhi kriteria TKDN untuk Molinas. Bisa menjadi demand-side justification untuk investasi manufacturing dan supplier localization.</t>
  </si>
  <si>
    <t>US$170 miliar; 140 juta motor existing; 6–7 juta annual motorcycle purchases; EV sales sekitar 60–70 ribu/tahun; ~10 national companies meet TKDN criteria. | Issue: Backup candidate: use if deeper detail on this manufacturing/policy angle is requested. | Local content: Provides additional evidence for local-content / manufacturing ecosystem discussion. | Manufacturing: Bisa menjadi demand-side justification untuk investasi manufacturing dan supplier localization.</t>
  </si>
  <si>
    <t>https://www.antaranews.com/berita/5692693/bkpm-potensi-pasar-motor-listrik-di-indonesia-170-miliar-dolar-as</t>
  </si>
  <si>
    <t>Lippo Group / BPI Danantara</t>
  </si>
  <si>
    <t>HILIR — Fleet / Offtake</t>
  </si>
  <si>
    <t>Lippo Group menyatakan komitmen pembelian 20.000 motor listrik nasional. Offtake commitment dapat menjadi anchor demand untuk production ramp-up dan supplier planning.</t>
  </si>
  <si>
    <t>20.000 unit committed purchase. | Issue: Backup candidate: use if deeper detail on this manufacturing/policy angle is requested. | Local content: Provides additional evidence for local-content / manufacturing ecosystem discussion. | Manufacturing: Offtake commitment dapat menjadi anchor demand untuk production ramp-up dan supplier planning.</t>
  </si>
  <si>
    <t>https://otomotif.bisnis.com/read/20260813/273/1995991/rosan-lapor-ke-prabowo-lippo-group-borong-20000-motor-listrik-nasional</t>
  </si>
  <si>
    <t>Danantara / Rosan Roeslani</t>
  </si>
  <si>
    <t>MoLiNas Local Nickel Battery Danantara menyatakan MoLiNas akan didorong menggunakan baterai berbasis nikel yang diproduksi di dalam negeri.</t>
  </si>
  <si>
    <t>Ini memperjelas preferensi battery chemistry MoLiNas dan kaitannya dengan keunggulan sumber daya nikel Indonesia. | Issue: Pernyataan CEO BPI Danantara saat peluncuran MoLiNas; nickel-based battery diprioritaskan. | Local content: Perlu dibuktikan kesiapan produksi cell kendaraan roda dua secara komersial, bukan hanya pack/assembly. | Manufacturing: Jika direalisasikan sampai level cell/material, potensi domestic value creation jauh lebih dalam.</t>
  </si>
  <si>
    <t>Mendorong keterhubungan nickel processing → precursor/cathode → cell → module/pack untuk E2W.</t>
  </si>
  <si>
    <t>https://en.antaranews.com/news/426893/indonesia-launches-molinas-in-push-for-electric-vehicle-self-reliance</t>
  </si>
  <si>
    <t>PT Len Industri</t>
  </si>
  <si>
    <t>PT Len Industri mengambil peran sebagai Lead Integrator aspek teknis dalam pengembangan MoLiNas, termasuk koordinasi integrasi teknis, standardisasi, serta penyelarasan data kesiapan antar-mitra dalam ekosistem.</t>
  </si>
  <si>
    <t>PT Len = Lead Integrator teknis; fokus pada integrasi teknis, standardisasi, dan data readiness.</t>
  </si>
  <si>
    <t>PT Len Ambil Peran Integrator Teknis dalam Pengembangan Molinas</t>
  </si>
  <si>
    <t>PT Len Industri / AISMOLI / Industri E2W</t>
  </si>
  <si>
    <t>Pengembangan MoLiNas dilakukan ketika pasar motor listrik masih relatif kecil dibandingkan pasar motor nasional, sementara pemerintah dan industri menargetkan peningkatan produksi serta penetrasi secara signifikan.</t>
  </si>
  <si>
    <t>Penjualan 2025 55.059 unit; turun 28,6% dari 2024; target produksi 2026 75.000 unit; proyeksi demand 2028 1,5 juta unit; market share 2025 &lt;1% dari ±6,4 juta motor nasional.</t>
  </si>
  <si>
    <t>Prabowo Bakal Resmikan Ekosistem Motor Listrik Nasional Molinas di Cikarang</t>
  </si>
  <si>
    <t>BRIN mengembangkan material katode NMC541 berbasis nikel untuk mengurangi ketergantungan terhadap impor material aktif baterai. Pengembangan diarahkan menuju pilot plant dan sertifikasi industri.</t>
  </si>
  <si>
    <t>Rasio Nikel:Mangan:Kobalt = 5:4:1; performa elektrokimia stabil; target pengembangan menuju pilot plant → sertifikasi industri.</t>
  </si>
  <si>
    <t>Media Nikel Indonesia</t>
  </si>
  <si>
    <t>BRIN Kembangkan Katode NMC541 Berbasis Nikel</t>
  </si>
  <si>
    <t>Kemendagri / AISMOLI</t>
  </si>
  <si>
    <t>FGD pemerintah dan industri mengevaluasi implementasi Perpres 55/2019 jo. 79/2023 dan membahas penguatan ekosistem kendaraan listrik nasional. Pemerintah dan industri mengidentifikasi gap implementasi: sales melemah setelah subsidi, economies of scale belum tercapai, ketergantungan komponen impor, dan investasi tertunda.</t>
  </si>
  <si>
    <t>468.231 KBLBB sampai Mei 2026; TKDN E2W/E3W 40% sampai 2026, 60% 2027–2029. | Issue: Demand uncertainty dan komponen impor menjadi hambatan utama untuk lokalisasi yang lebih dalam. | Local content: TKDN bukan hanya compliance; peningkatan komponen baterai domestik disebut sebagai strategi penting. | Manufacturing: Skala produksi harus cukup untuk membuat lokalisasi komponen dan battery supply chain feasible.</t>
  </si>
  <si>
    <t>Ditjen Bina Pembangunan Daerah Kemendagri</t>
  </si>
  <si>
    <t>https://bangda.kemendagri.go.id/berita/baca_kontent/1672/pemerintah_dan_industri_bahas_penguatan_ekosistem_kendaraan_listrik_nasional</t>
  </si>
  <si>
    <t>TVS Motor (iQube)</t>
  </si>
  <si>
    <t>TVS Motor Company merayakan keluarnya unit ke-sejuta TVS iQube dari fasilitas manufaktur di Hosur. Tonggak ini menegaskan peningkatan skala produksi dan adopsi iQube dalam transformasi mobilitas listrik India.</t>
  </si>
  <si>
    <t>One-millionth iQube: 25 Jun 2026 | Lokasi: Hosur | Tonggak: 1 juta unit kumulatif</t>
  </si>
  <si>
    <t>TVS Motor Company</t>
  </si>
  <si>
    <t>https://www.tvsmotor.com/media/press-release/one-millionth-tvs-iqube-rolled-out-reflects-tvs-motors-role-in-shaping-indias-ev-transformation</t>
  </si>
  <si>
    <t>Pemerintah / Industri Baterai</t>
  </si>
  <si>
    <t>Indonesia didorong membangun ekonomi sirkular baterai yang memperhatikan mineral, decarbonization, sustainability dan persyaratan seperti EU Battery Passport. Persaingan battery manufacturing makin terkait dengan traceability dan sustainability, bukan hanya kapasitas produksi.</t>
  </si>
  <si>
    <t>Fokus pada circular economy, mineral value chain, decarbonization dan Battery Passport. | Issue: Produsen perlu kesiapan data, traceability dan sustainability metrics sepanjang lifecycle baterai. | Local content: Meningkatkan kualitas local content dari sekadar persentase komponen menjadi sustainable domestic value creation. | Manufacturing: Mendorong green manufacturing, traceability dan lifecycle management pada battery supply chain.</t>
  </si>
  <si>
    <t>https://www.antaranews.com/berita/5620824/indonesia-bergerak-ke-ekonomi-sirkular-hadapi-masalah-produksi-baterai</t>
  </si>
  <si>
    <t>Ditjen Ketenagalistrikan / ESDM</t>
  </si>
  <si>
    <t>Ditjen Gatrik meninjau pembangunan EV charging station untuk kendaraan roda dua di Bali. Charging infrastructure E2W mulai diperkuat sebagai bagian dari ecosystem readiness.</t>
  </si>
  <si>
    <t>Program/proyek EVCS roda dua di Bali. | Issue: Availability, location dan utilization menentukan economics charging infrastructure. | Local content: Infrastructure readiness mendukung adopsi E2W dan memperkuat ekosistem domestik. | Manufacturing: Membutuhkan deployment, operation, maintenance dan standards untuk charging E2W.</t>
  </si>
  <si>
    <t>Ditjen Gatrik ESDM</t>
  </si>
  <si>
    <t>https://gatrik.esdm.go.id/berita/index?category=1&amp;slug=percepat-pengembangan-ekosistem-kendaraan-listrik-ditjen-gatrik-tinjau-pembangunan-evcs-roda-dua-di-bali</t>
  </si>
  <si>
    <t>IISD</t>
  </si>
  <si>
    <t>IISD memetakan perkembangan ekosistem BEV Indonesia dan menyoroti ekspansi local manufacturing serta penyelarasan kebijakan dengan pertumbuhan pasar. Ekosistem mencakup kendaraan roda dua, tiga dan empat; local manufacturing menjadi salah satu perkembangan utama.</t>
  </si>
  <si>
    <t>Lebih dari 340.000 EV on-road pada awal 2026 menurut mapping tersebut. | Issue: Pertumbuhan market harus diikuti capacity, supplier localization dan infrastructure development. | Local content: Memberikan konteks bahwa local manufacturing sedang berkembang lintas vehicle segments. | Manufacturing: Menunjukkan perlunya pendekatan ekosistem, bukan hanya OEM-level assembly.</t>
  </si>
  <si>
    <t>https://www.iisd.org/articles/news/indonesia-battery-electric-vehicle-ecosystem</t>
  </si>
  <si>
    <t>Researchers / Industry Ecosystem</t>
  </si>
  <si>
    <t>Riset open-access memetakan tantangan sistemik pengembangan pasar second-life battery di Indonesia. Second-life mulai dipandang sebagai market dan ecosystem problem, bukan hanya teknologi.</t>
  </si>
  <si>
    <t>Studi 2026 membahas systemic challenges shaping sustainable second-life battery market. | Issue: Standards, safety, testing, business model, feedstock dan coordination masih menjadi isu. | Local content: Membuka jalur nilai tambah domestik setelah battery first-life berakhir. | Manufacturing: Membutuhkan capabilities untuk testing, grading, repurposing, BMS integration dan end-of-life recycling.</t>
  </si>
  <si>
    <t>Springer Nature</t>
  </si>
  <si>
    <t>https://link.springer.com/article/10.1007/s43621-026-03402-7</t>
  </si>
  <si>
    <t>TMMIN – CATL</t>
  </si>
  <si>
    <t>Toyota-CATL Battery Localization TMMIN menggandeng CATL untuk mengembangkan kemampuan produksi baterai elektrifikasi di Indonesia.</t>
  </si>
  <si>
    <t>Lokalisasi diarahkan dari battery assembly pack hingga module dan cell; komponen cell/module yang sebelumnya diimpor ditargetkan diproduksi dengan SDM Indonesia. | Issue: Investasi TMMIN Rp1,3 triliun; ekspor baterai ditargetkan mulai paruh kedua 2026. | Local content: Peralihan dari impor cell/module ke produksi lokal membutuhkan technology transfer, quality capability dan scale. | Manufacturing: Sangat kuat untuk peningkatan domestic value karena menyasar cell dan module, bukan hanya pack.</t>
  </si>
  <si>
    <t>Membangun engineering, cell/module production, quality, SDM dan potensi ekspor komponen baterai.</t>
  </si>
  <si>
    <t>https://newsroom.toyota.co.id/news/memperingati-usia-ke-55-tahun-toyota-indonesia-gandeng-catl-tingkatkan-kemampuan-produksi-baterai-mobil-elektrifikasi</t>
  </si>
  <si>
    <t>Filipina</t>
  </si>
  <si>
    <t>VinFast E-Scooter</t>
  </si>
  <si>
    <t>VinFast menandatangani MoU dengan 14 distributor motor listrik besar di Filipina untuk mempercepat pembangunan jaringan penjualan &amp; layanan purnajual menjelang peluncuran produk Juni 2026, sebagai bagian strategi membangun ekosistem mobilitas listrik lengkap di 5 pasar Asia Tenggara/Selatan.</t>
  </si>
  <si>
    <t>14 distributor baru | Target peluncuran produk: Jun 2026 | Ekspansi ke 5 negara sekaligus</t>
  </si>
  <si>
    <t>VinFast Newsroom</t>
  </si>
  <si>
    <t>https://vinfastauto.us/investor-relations/news/vinfast-signs-partnerships-with-14-e-scooter-dealers-in-the-philippines</t>
  </si>
  <si>
    <t>Emmo / MBG / Kosmik</t>
  </si>
  <si>
    <t>How TKDN is Actually Built Kasus Emmo menunjukkan TKDN E2W dapat ditopang oleh manufaktur/perakitan, komponen pendukung lokal seperti ban, serta battery pack assembly termasuk BMS, casing dan cooling system.</t>
  </si>
  <si>
    <t>Memberikan contoh konkret bahwa komponen non-cell dapat menyumbang domestic value meski battery cells masih impor. | Issue: TKDN Emmo JVX GT dilaporkan 48,5%; ban lokal dan battery pack assembly berkontribusi pada struktur biaya/TKDN. | Local content: Perlu dibedakan antara domestic assembly/value-added dan domestic origin of critical raw material/cell. | Manufacturing: Menunjukkan area komponen lokal yang dapat menjadi quick wins: tires, casing, BMS integration, cooling, assembly.</t>
  </si>
  <si>
    <t>Membuka peluang supplier lokal pada rubber/tire, enclosure, cooling, electronics integration dan BMS.</t>
  </si>
  <si>
    <t>https://otomotif.sindonews.com/newsread/1696283/121/menguak-misteri-di-balik-tkdn-485-emmo-jvx-gt-milik-mbg-motor-lokal-rasa-impor-1776161043</t>
  </si>
  <si>
    <t>Ditjen Ketenagalistrikan memperkuat aspek keselamatan pada infrastruktur pengisian KBLBB. Safety menjadi bagian dari readiness infrastructure, bukan hanya deployment jumlah charger.</t>
  </si>
  <si>
    <t>Fokus pada aspek keselamatan infrastruktur charging KBLBB. | Issue: Standards, certification, installation quality dan operation perlu konsisten. | Local content: Regulatory quality menjadi enabler bagi sustainable EV ecosystem. | Manufacturing: Membutuhkan kompetensi, standards dan compliance pada charging infrastructure manufacturing/installation.</t>
  </si>
  <si>
    <t>Berita Satu</t>
  </si>
  <si>
    <t>https://www.beritasatu.com/ototekno/2977590/evaluasi-infrastruktur-penting-untuk-ekosistem-kendaraan-listrik?utm_source=chatgpt.com</t>
  </si>
  <si>
    <t>ANTAM – IBI – HYD</t>
  </si>
  <si>
    <t>ANTAM, IBI dan HYD menyepakati kerangka pengembangan ekosistem baterai kendaraan listrik terintegrasi, termasuk pengolahan nikel. Kolaborasi diarahkan pada rantai nilai baterai terintegrasi dengan ANTAM sebagai pemegang saham mayoritas dalam struktur konsorsium.</t>
  </si>
  <si>
    <t>Framework agreement; fokus pada integrated EV battery ecosystem dan nickel processing. | Issue: Tantangan utama adalah integrasi lintas tahapan value chain dan keekonomian proyek. | Local content: Memperkuat domestic value creation dari bahan baku menuju battery ecosystem. | Manufacturing: Potensi membangun basis battery materials dan manufacturing yang terhubung dengan sumber daya domestik.</t>
  </si>
  <si>
    <t>Kementerian ESDM</t>
  </si>
  <si>
    <t>https://esdm.go.id/id/media-center/arsip-berita/jalankan-program-hilirisasi-menteri-bahlil-saksikan-kesepakatan-konsorsium-untuk-ekosistem-baterai-terintegrasi</t>
  </si>
  <si>
    <t>Target Pemerintah (Kemenperin) 2 Juta Unit</t>
  </si>
  <si>
    <t>GAGAL</t>
  </si>
  <si>
    <t>Target ambisius pemerintah Indonesia agar 20% dari total produksi motor nasional (~2 juta unit) berupa motor listrik pada 2025 — dicanangkan Menperin Agus Gumiwang sejak 2022 — gagal tercapai secara telak. Berdasarkan data resmi SRUT Kemenhub &amp; AISI, realisasi penjualan 2025 hanya 55.059 unit (kurang dari 1% dari total 6.412.769 motor terjual), bahkan TURUN 28,6% dari 77.078 unit di tahun 2024. Menperin sendiri memastikan tidak ada insentif motor listrik tahun ini. Asosiasi motor listrik (AISMOLI) menyatakan sudah tak lagi berharap pada subsidi pemerintah.</t>
  </si>
  <si>
    <t>Target: 2 juta unit (20% produksi nasional) di 2025 | Realisasi: 55.059 unit (&lt;1% dari total penjualan motor) | Tren: turun 28,6% YoY (2024: 77.078 unit) | Sumber resmi: AISI + SRUT Kemenhub</t>
  </si>
  <si>
    <t>detikOto (data AISI &amp; Kemenhub) / Tempo</t>
  </si>
  <si>
    <t>https://oto.detik.com/motor-listrik/d-8304693/target-2-juta-motor-listrik-ambyar-tahun-2025-cuma-terjual-50-ribuan-unit</t>
  </si>
  <si>
    <t>Kementerian Perindustrian / BYD / VinFast / Geely / Xpeng / Aion / Citroen / Maxus / VW / GWM Ora</t>
  </si>
  <si>
    <t>Kemenperin menagih pemenuhan TKDN kepada sejumlah produsen mobil listrik mulai 2026. Produsen global yang membangun/menyiapkan operasi di Indonesia diarahkan memenuhi TKDN dan memperdalam lokalisasi.</t>
  </si>
  <si>
    <t>Implementasi TKDN mulai 2026 untuk sejumlah brand. | Issue: Investasi assembly harus diikuti localization agar kontribusi domestik meningkat. | Local content: Menciptakan pressure point bagi OEM global untuk membangun local supplier base. | Manufacturing: Peluang pengembangan tier-1/tier-2 supplier dan komponen kendaraan listrik.</t>
  </si>
  <si>
    <t>https://www.antaranews.com/berita/5067401/kemenperin-tagih-byd-hingga-vinfast-penuhi-tkdn-mobil-listrik-di-2026</t>
  </si>
  <si>
    <t>Pemerintah RI</t>
  </si>
  <si>
    <t>Regulasi PPN kendaraan listrik berbasis baterai mensyaratkan minimum TKDN untuk kendaraan yang memperoleh fasilitas. Insentif fiskal dikaitkan dengan persyaratan kandungan lokal, sehingga policy support diarahkan sekaligus untuk industrial development.</t>
  </si>
  <si>
    <t>Minimum TKDN 40% untuk kendaraan listrik tertentu yang memperoleh fasilitas PPN DTP. | Issue: Insentif tanpa localization dapat meningkatkan demand tetapi tidak otomatis memperdalam domestic value added. | Local content: TKDN menjadi gate untuk memperoleh manfaat fiskal tertentu. | Manufacturing: Mendorong OEM meningkatkan local sourcing untuk mempertahankan eligibility insentif.</t>
  </si>
  <si>
    <t>Direktorat Jenderal Pajak</t>
  </si>
  <si>
    <t>https://www.pajak.go.id/id/peraturan/pajak-pertambahan-nilai-atas-penyerahan-kendaraan-bermotor-listrik-berbasis-baterai-1</t>
  </si>
  <si>
    <t>Indonesia dan Malaysia mengembangkan Baterai Nusantara untuk membangun ekosistem baterai ASEAN yang lebih mandiri. BRIN/NBRI terlibat melalui expertise riset dan pengembangan material baterai.</t>
  </si>
  <si>
    <t>International Battery Summit 26–28 Agu 2026; Indonesia berpotensi berkontribusi pada material/katoda, sementara Malaysia memiliki fasilitas pilot untuk produksi sel baterai.</t>
  </si>
  <si>
    <t>https://m.antaranews.com/amp/berita/5711873/baterai-nusantara-dorong-kemandirian-ekosistem-baterai-di-asean</t>
  </si>
  <si>
    <t>Kemenperin menerbitkan Permenperin No. 35 Tahun 2026 mengenai ketentuan dan tata cara sertifikasi TKDN serta Bobot Manfaat Perusahaan (BMP). Regulasi baru ini memperbarui framework administratif sertifikasi dan penghitungan TKDN yang menjadi fondasi implementasi local-content policy.</t>
  </si>
  <si>
    <t>Permenperin No. 35 Tahun 2026; berlaku sebagai framework sertifikasi TKDN dan BMP. | Issue: Perusahaan perlu memastikan data, komponen utama dan proses produksi terdokumentasi sesuai metodologi sertifikasi. | Local content: Relevan sebagai regulatory enabler untuk memastikan klaim TKDN dapat diverifikasi dan menjadi dasar kebijakan industri. | Manufacturing: Memperkuat governance data, traceability komponen dan kesiapan audit manufaktur.</t>
  </si>
  <si>
    <t>https://ikm.kemenperin.go.id/tingkat-komponen-dalam-negeri-tkdn</t>
  </si>
  <si>
    <t>Kementerian Perindustrian – Ditjen ILMATE</t>
  </si>
  <si>
    <t>Ditjen ILMATE menetapkan perubahan rincian komponen utama barang sektor industri logam, mesin, alat transportasi dan elektronika untuk penghitungan TKDN. Ini penting untuk manufacturing karena metodologi TKDN bertumpu pada rincian komponen utama dan klasifikasi sektor.</t>
  </si>
  <si>
    <t>Perdirjen ILMATE No. 2 Tahun 2026; perubahan atas Perdirjen ILMATE No. 6 Tahun 2025. | Issue: Perubahan rincian komponen dapat memengaruhi bagaimana kontribusi komponen domestik dihitung. | Local content: Membuat hubungan antara local sourcing dan perhitungan TKDN lebih konkret di level komponen. | Manufacturing: Relevan bagi OEM dan supplier untuk mapping BOM, domestic component sourcing dan dokumentasi.</t>
  </si>
  <si>
    <t>Kemenperin – Ditjen ILMATE</t>
  </si>
  <si>
    <t>https://ilmate.kemenperin.go.id/pelayanan-publik/peraturan/00ec53c4682d36f5c4359f4ae7bd7ba1?type=repository</t>
  </si>
  <si>
    <t>Perpres 79/2023 menjadi baseline kebijakan TKDN KBLBB dan memperkuat arah peningkatan kandungan dalam negeri. Jadwal TKDN ditetapkan bertahap dan menjadi basis kebijakan insentif serta pengembangan industri.</t>
  </si>
  <si>
    <t>E2W/E3W: minimum 40% hingga 2026; 60% 2027–2029; 80% mulai 2030. | Issue: Pelaku industri harus meningkatkan domestic value creation, bukan sekadar perakitan. | Local content: Ada trajectory yang jelas menuju 80% TKDN untuk roda dua/tiga. | Manufacturing: Memerlukan supplier localization, komponen lokal, battery components dan proses produksi domestik.</t>
  </si>
  <si>
    <t>BPK – Database Peraturan</t>
  </si>
  <si>
    <t>https://peraturan.bpk.go.id/Details/273447/perpres-no-79-tahun-2023</t>
  </si>
  <si>
    <t>Ather Energy (Inovasi Produk)</t>
  </si>
  <si>
    <t>Pada Community Day ke-4, Ather Energy memperkenalkan empat inovasi sekaligus yang mencakup produk, baterai, charging, dan kesehatan kendaraan: skuter Konarc, baterai Bedrock generasi kelima, AtherNode (solusi charging komunitas untuk apartemen), serta Ather True Health untuk penilaian kesehatan baterai/kendaraan dan nilai jual kembali (resale value).</t>
  </si>
  <si>
    <t>4 inovasi diluncurkan sekaligus | &gt;4.600 peserta Community Day | Fokus: keamanan baterai, akses charging, kesehatan kendaraan &amp; resale value</t>
  </si>
  <si>
    <t>Energetica India</t>
  </si>
  <si>
    <t>https://www.energetica-india.net/news/ather-energy-unveils-four-new-ev-innovations-at-fourth-community-day-</t>
  </si>
  <si>
    <t>Ather Energy (Kapasitas Produksi)</t>
  </si>
  <si>
    <t>Ather menghadapi permintaan yang jauh melampaui kapasitas produksinya. CEO Tarun Mehta menyebut permintaan bulanan sudah menembus 50.000 unit, sementara kapasitas produksi saat ini baru sekitar 35.000 unit/bulan — menjadikan ekspansi kapasitas manufaktur sebagai penghambat utama pertumbuhan dalam beberapa kuartal ke depan.</t>
  </si>
  <si>
    <t>Permintaan: &gt;50.000 unit/bulan | Kapasitas saat ini: \~35.000 unit/bulan | Estimasi waktu mengejar ketertinggalan kapasitas: 3-4 kuartal</t>
  </si>
  <si>
    <t>Business Standard</t>
  </si>
  <si>
    <t>https://www.business-standard.com/amp/industry/auto/ather-demand-outstrip-supply-konarc-scooter-tarun-mehta-126083000232_1.html</t>
  </si>
  <si>
    <t>Singapura</t>
  </si>
  <si>
    <t>Kilats / Charged Asia (ekspansi ke Indonesia)</t>
  </si>
  <si>
    <t>[Temuan tambahan di luar 6 peer inti — Singapura bukan bagian kriteria peer, namun relevan karena ekspansinya langsung menyasar pasar Indonesia] Perusahaan motor listrik asal Singapura menghadapi adopsi domestik yang masih rendah dan mengalihkan pertumbuhan ke Asia Tenggara. Kilats telah menyewakan hampir 700 motor listrik ke Grab di Bali dan Bandung dengan dukungan 44 stasiun swap baterai; Charged Asia telah men-deploy lebih dari 5.000 unit di Indonesia dan menargetkan lebih dari 300.000 unit se-kawasan dalam beberapa tahun ke depan.</t>
  </si>
  <si>
    <t>E2W di jalan Singapura: 433 unit (per Jul 2026) | Kilats: \~700 unit ke Grab + 44 swap station (Bali/Bandung) | Charged Asia: &gt;5.000 unit di Indonesia, target &gt;300.000 unit regional</t>
  </si>
  <si>
    <t>Channel NewsAsia</t>
  </si>
  <si>
    <t>https://www.channelnewsasia.com/singapore/electric-motorbike-companies-singapore-overseas-6347736</t>
  </si>
  <si>
    <t>Ather Energy – Konarc</t>
  </si>
  <si>
    <t>Ather meluncurkan skuter listrik Konarc untuk memperluas penetrasi ke segmen mass-market. Konarc menggunakan platform EL baru dan tersedia dalam enam varian dengan harga mulai ₹99.999 serta range hingga 200 km IDC.</t>
  </si>
  <si>
    <t>Harga mulai: ₹99.999 | 6 varian | Range hingga 200 km IDC | Platform: EL | Target: memperluas addressable market Ather</t>
  </si>
  <si>
    <t>Economic Times</t>
  </si>
  <si>
    <t>https://www.economictimes.indiatimes.com/industry/renewables/ather-launches-konarc-electric-scooter-at-99999-with-200-km-range-10-year-battery-warranty/articleshow/133607676.cms</t>
  </si>
  <si>
    <t>China</t>
  </si>
  <si>
    <t>Luyuan Group</t>
  </si>
  <si>
    <t>Luyuan memperluas bisnis luar negeri ketika pasar domestik China semakin didorong replacement demand. Perusahaan menekankan bahwa kompetisi ekspor E2W akan makin ditentukan teknologi, brand, compliance, dan local operations—bukan sekadar harga murah.</t>
  </si>
  <si>
    <t>~80% permintaan domestik China berasal dari replacement tahun ini | Penjualan luar negeri H1 2026 +~40% YoY | &gt;80 negara/wilayah | 6 innovation centers global</t>
  </si>
  <si>
    <t>China Daily / eZhejiang</t>
  </si>
  <si>
    <t>https://www.ezhejiang.gov.cn/jinhua/2026-08/31/c_1209788.htm</t>
  </si>
  <si>
    <t>Bajaj Auto (Chetak)</t>
  </si>
  <si>
    <t>Bajaj Auto resmi menjadi produsen EV kedua di India (setelah TVS) yang menembus penjualan 3 lakh (300.000) unit dalam satu tahun kalender, berkat performa kuat Chetak. Berdasarkan data registrasi Vahan, Bajaj mengirimkan 3,02 lakh unit sepanjang Januari-Agustus 2026, tumbuh 68% dibanding periode sama tahun lalu. TVS tetap unggul di posisi puncak dengan 3,53 lakh unit, sementara Ather di posisi ketiga dengan 2,27 lakh unit dan diproyeksi menembus 3 lakh unit sekitar November 2026 didorong peluncuran model mass-market Konarc.</t>
  </si>
  <si>
    <t>Bajaj: 3,02 lakh unit (Jan-Agu 2026), +68% YoY | TVS (pemimpin pasar): 3,53 lakh unit | Ather: 2,27 lakh unit | Pangsa pasar: Bajaj 22%, Ather 17%, TVS 26% | Proyeksi total Bajaj akhir tahun: 4,25-4,50 lakh unit</t>
  </si>
  <si>
    <t>https://www.autocarindia.com/bike-news/bajaj-becomes-second-indian-ev-maker-to-cross-3-lakh-sales-this-year-440612</t>
  </si>
  <si>
    <t>Vietnam</t>
  </si>
  <si>
    <t>Ekosistem motor listrik Vietnam</t>
  </si>
  <si>
    <t>Pasar motor listrik Vietnam tumbuh sangat cepat pada tujuh bulan pertama 2026. Penjualan mencapai 513.742 unit, naik 97,2% YoY, dan pangsanya meningkat menjadi sekitar 27,6% dari total pasar roda dua.</t>
  </si>
  <si>
    <t>Penjualan E2W 7M 2026: 513.742 unit | +97,2% YoY | Pangsa: 27,6% | Total pasar 2W: ~1,8 juta unit | Pertumbuhan pasar total: +19,6%</t>
  </si>
  <si>
    <t>VnExpress</t>
  </si>
  <si>
    <t>https://vnexpress.net/tieu-thu-xe-may-dien-tai-viet-nam-tiep-tuc-tang-5114587.html</t>
  </si>
  <si>
    <t>Pakistan</t>
  </si>
  <si>
    <t>Ekosistem EV Pakistan</t>
  </si>
  <si>
    <t>Target pemerintah Pakistan untuk mengalihkan 30% kendaraan ke EV dalam lima tahun masih menghadapi hambatan infrastruktur. Ketersediaan charging station tertinggal, sementara jaringan SPBU terus bertambah; di sisi lain harga BBM tinggi mulai mendorong minat terhadap kendaraan elektrifikasi.</t>
  </si>
  <si>
    <t>Target EV: 30% dalam 5 tahun | Potensi penghematan impor BBM: US$4,5 miliar/tahun | Infrastruktur charging masih terbatas | Basis pasar: &gt;30 juta sepeda motor</t>
  </si>
  <si>
    <t>Dawn</t>
  </si>
  <si>
    <t>https://www.dawn.com/news/2026075/electric-vehicle-shift-lags-amid-infrastructure-gaps</t>
  </si>
  <si>
    <t>Bangladesh</t>
  </si>
  <si>
    <t>E-Rickshaw / kendaraan listrik roda-3</t>
  </si>
  <si>
    <t>Pemerintah Bangladesh menyusun kebijakan untuk mengatur battery-powered/electric rickshaw, mencakup registrasi, sertifikasi teknis, fitness, charging station, dan garage management. Kebijakan juga mengatur pergerakan e-rickshaw di wilayah perkotaan, termasuk pembatasan operasi di jalan utama Dhaka.</t>
  </si>
  <si>
    <t>Registrasi &amp; licensing | Sertifikasi teknis + fitness | Charging station &amp; garage management | Jalan utama Dhaka dibatasi untuk battery/e-rickshaw</t>
  </si>
  <si>
    <t>The Daily Star</t>
  </si>
  <si>
    <t>https://www.thedailystar.net/news/transport/news/govt-drafting-policy-regulate-battery-powered-rickshaws-mir-shahe-alam-4260171</t>
  </si>
  <si>
    <t>Kebijakan Auto &amp; EV Pakistan</t>
  </si>
  <si>
    <t>Pakistan telah meluncurkan National Electric Vehicle (NEV) Policy 2025–30 untuk mendorong adopsi kendaraan listrik sekaligus memperkuat industri lokal. Kebijakan menargetkan 30% dari penjualan kendaraan baru menjadi kendaraan listrik pada 2030 dan mendorong peningkatan local value addition serta dukungan bagi industri domestik.</t>
  </si>
  <si>
    <t>Target 2030: 30% penjualan kendaraan baru menjadi EV | Fokus: local industry &amp; localization | Dukungan untuk 2W/3W/4W | NEV Policy berlaku 2025–30</t>
  </si>
  <si>
    <t>Government of Pakistan – Press Information Department</t>
  </si>
  <si>
    <t>https://pid.gov.pk/site/press_detail/29435</t>
  </si>
  <si>
    <t>Ather Energy</t>
  </si>
  <si>
    <t>Berbanding terbalik dengan Ola, Ather Energy (didirikan alumni IIT Madras 2013) tumbuh pesat: menjual 260.000+ kendaraan di FY26 dengan pangsa pasar 18,6%, kapitalisasi pasar tembus ₹57.302 crore setelah IPO sukses Mei 2025 (naik 69% dari harga penawaran), dan kini menjadi merek EV roda-2 terbesar kedua di India, melampaui Ola.</t>
  </si>
  <si>
    <t>Penjualan FY26: 260.000+ unit | Pangsa pasar: 18,6% | Market cap: ₹57.302 crore | Saham naik 69% pasca-IPO | Jaringan fast-charging: 5.900+ charger di 379+ kota</t>
  </si>
  <si>
    <t>Equentis / MeraEV / FounderPin</t>
  </si>
  <si>
    <t>https://www.equentis.com/blog/13-years-2-6-lakh-vehicles-57302-crore-market-cap-the-ather-energy-story/</t>
  </si>
  <si>
    <t>Ekosistem Motor Listrik Pakistan (keseluruhan)</t>
  </si>
  <si>
    <t>Pakistan mengalami ledakan pertumbuhan motor listrik yang tak terduga: pada Q1 2026 pasar motor keseluruhan tumbuh ~33% YoY menjadi 530.000+ unit, sementara segmen listrik tumbuh &gt;50% pada periode sama — mendorong Pakistan masuk jajaran 5 besar pasar motor listrik dunia. Didorong harga bensin yang terus tinggi (&gt;PKR 250/liter) dan skema subsidi pemerintah PAVE, puluhan pemain lokal baru (Jolta, Vlektra, Okla, E Turbo, Crown, United Auto, dll.) kini bersaing memenuhi permintaan yang meledak ini.</t>
  </si>
  <si>
    <t>Pertumbuhan segmen listrik: &gt;50% YoY (Q1 2026) | Pertumbuhan pasar motor keseluruhan: ~33% YoY jadi 530.000+ unit | Masuk top-5 pasar motor listrik dunia | 10+ merek lokal aktif bersaing</t>
  </si>
  <si>
    <t>TYCORUN</t>
  </si>
  <si>
    <t>https://www.tycorun.com/blogs/news/top-10-electric-motorcycle-manufacturers-in-pakistan</t>
  </si>
  <si>
    <t>Selex Motors</t>
  </si>
  <si>
    <t>Selex Motors, startup battery-swap asal Hanoi (berdiri 2018) yang tadinya cuma disebut sekilas di sela pemberitaan Dat Bike, ternyata punya kisah tersendiri yang solid: bersama dua mitra (Xuan Cau Holdings &amp; Petrolimex, distributor BBM terbesar Vietnam) mendirikan perusahaan patungan VGX (Vietnam Green Energy Infrastructure) yang pada Mei 2026 resmi teken kerja sama strategis dengan Yadea (China) untuk membangun infrastruktur battery-swap bersama secara nasional. Selex sendiri sudah melayani klien korporat besar seperti Lazada dan DHL untuk armada pengiriman listrik, didukung Asian Development Bank (ADB Ventures) sejak awal, dengan motor listrik dijual di bawah US$1.000 karena baterai tidak perlu dibeli di muka.</t>
  </si>
  <si>
    <t>Kerja sama VGX x Yadea diumumkan: Mei 2026 (VGX = JV Selex + Xuan Cau Holdings + Petrolimex) | Kapasitas produksi Selex: 20.000 motor &amp; 100.000 paket baterai/tahun | Klien: Lazada, DHL | Total pendanaan Selex: ~US$5,1-5,5 juta</t>
  </si>
  <si>
    <t>VietnamNews / TechNode Global / ADB Ventures</t>
  </si>
  <si>
    <t>https://technode.global/2026/05/28/chinas-yadea-vietnams-selex-to-jointly-develop-battery-swapping-network-for-electric-motorcycles/</t>
  </si>
  <si>
    <t>Ekosistem EV Roda-2 Resmi (BYD, CFMOTO Zeeho)</t>
  </si>
  <si>
    <t>Di luar sektor e-rickshaw informal, pasar EV resmi Bangladesh mulai tumbuh dari basis yang sangat kecil — didorong pemain China: BYD resmi masuk 2024 lewat distributor CG-Runner Bangladesh (JV Chowdhury Group &amp; Runner Group), dengan Runner Automobiles kini berencana membangun pabrik perakitan BYD di Bhaluka, Mymensingh (kesepakatan diumumkan resmi ke Bursa Efek Dhaka). CFMOTO juga masuk lewat sub-brand skuter listrik ZEEHO. Namun skala formal masih sangat kecil: total EV terdaftar resmi di Bangladesh baru 669 unit per 14 Mei 2026 (data BRTA) sejak registrasi EV pertama kali dibuka September 2022 — menunjukkan jarak sangat jauh antara potensi pasar dan adopsi resmi.</t>
  </si>
  <si>
    <t>Total EV terdaftar resmi: hanya 669 unit (14 Mei 2026, data BRTA) | BYD masuk resmi: 2024 | Rencana pabrik rakitan BYD: Bhaluka, Mymensingh (Runner Automobiles) | Draf kebijakan: 'Electric Vehicle Industry Development Policy 2025' — target 30% adopsi EV di kendaraan pemerintah pada 2030</t>
  </si>
  <si>
    <t>https://www.thedailystar.net/news/tech-startup/news/evs-are-trending-bangladesh-will-it-sustain-4184956</t>
  </si>
  <si>
    <t>VinFast (induk/mobil listrik)</t>
  </si>
  <si>
    <t>VinFast belum pernah mencetak laba sejak berdiri 2017; rugi US$3,9 miliar tahun lalu. Perusahaan menjual bisnis manufaktur &amp; 2 pabrik utamanya di Vietnam senilai US$506 juta dan mengalihkan utang ~US$6,9 miliar ke pembeli agar jadi perusahaan 'asset-light'. Struktur transaksi dikritik analis karena melibatkan pihak-pihak terkait pendiri Pham Nhat Vuong dan menimbulkan pertanyaan tata kelola.</t>
  </si>
  <si>
    <t>Rugi 2025: US$3,9 M | Nilai penjualan pabrik: US$506 juta | Utang dialihkan: ~US$6,9 M | Saham turun ~12% sejak pengumuman 12 Mei 2026</t>
  </si>
  <si>
    <t>IDN Financials (via Reuters)</t>
  </si>
  <si>
    <t>https://www.idnfinancials.com/id/news/64017/vinfast-vietnam-jual-pabrik-dan-alihkan-utang-us7-miliar-mengapa</t>
  </si>
  <si>
    <t>Hero Electric</t>
  </si>
  <si>
    <t>Hero Electric Vehicles Pvt. Ltd. masuk proses likuidasi pada Maret 2026 setelah proses insolvency resolution. Catatan resmi IBBI menunjukkan proses corporate insolvency dimulai pada Desember 2024 dan proses likuidasi diumumkan pada 7 Maret 2026.</t>
  </si>
  <si>
    <t>CIRP dimulai: 20 Des 2024 | Liquidation process commenced: 3 Mar 2026 | Public announcement liquidation: 7 Mar 2026 | Sumber: IBBI</t>
  </si>
  <si>
    <t>Insolvency and Bankruptcy Board of India (IBBI)</t>
  </si>
  <si>
    <t>https://ibbi.gov.in/public-announcement?cinno=VTM0MjAwREwyMDEwUFRDMjA2NTIw</t>
  </si>
  <si>
    <t>Dat Bike</t>
  </si>
  <si>
    <t>Dat Bike menerima investasi US$4 juta dari Thien Viet Securities dalam putaran Series B pada Maret 2026. Dana diarahkan untuk memperluas kapasitas produksi, memperkuat supply chain, meningkatkan distribusi, dan R&amp;D. Investasi ini membawa total modal yang dihimpun Dat Bike menjadi sekitar US$51 juta.</t>
  </si>
  <si>
    <t>Investasi terbaru: US$4 juta | Total capital raised setelah investasi: US$51 juta | Fokus dana: produksi, supply chain, distribusi, R&amp;D</t>
  </si>
  <si>
    <t>Vietnam News</t>
  </si>
  <si>
    <t>https://vietnamnews.vn/economy/1767242/dat-bike-powers-ahead-with-new-4m-investment.html</t>
  </si>
  <si>
    <t>Ola Electric</t>
  </si>
  <si>
    <t>Ola Electric, dulu pemimpin pasar skuter listrik India, memberhentikan 5% karyawan (~620 orang) — PHK ketiga dalam &lt;2 tahun — di tengah penjualan yang anjlok. Penjualan 2025 turun 51% (dari ~407.000 ke ~199.000 unit) dan pangsa pasar merosot dari 35% ke 15,6%, saham anjlok ~82% dari puncak, dengan lebih dari 10.000 komplain konsumen tercatat dalam setahun.</t>
  </si>
  <si>
    <t>PHK: 5% karyawan (~620 orang) | Penjualan 2025: -51% YoY (407.000 → 199.000 unit) | Pangsa pasar: 35% → 15,6% | Saham turun ~82% dari puncak | Komplain konsumen: 10.000+ dalam setahun</t>
  </si>
  <si>
    <t>MeraEV ("Ola Collapse 2026")</t>
  </si>
  <si>
    <t>https://www.meraev.com/blog/the-ola-collapse-should-you-still-buy-one-in-2026</t>
  </si>
  <si>
    <t>Okinawa Autotech &amp; Benling India</t>
  </si>
  <si>
    <t>Bersama Hero Electric, dua produsen motor listrik lain — Okinawa Autotech dan Benling India — turut diselidiki Serious Fraud Investigation Office (SFIO) atas dugaan penipuan subsidi FAME-II senilai total Rp297 crore (~US$35 juta) dengan cara mengklaim kepatuhan lokalisasi komponen yang ternyata palsu. Keduanya di-deregistrasi dari skema subsidi sejak 2023, kehilangan akses ke insentif pemerintah, dan Okinawa sempat mengajukan perlindungan hukum ke pengadilan namun ditolak.</t>
  </si>
  <si>
    <t>Total dugaan penyalahgunaan: Rp2.97 crore (~US$35 juta) | Di-deregistrasi dari skema subsidi sejak 2023 | Permohonan perlindungan hukum Okinawa ditolak pengadilan</t>
  </si>
  <si>
    <t>Deccan Herald (Reuters) / Inc42 / E-Vehicle Info</t>
  </si>
  <si>
    <t>https://www.deccanherald.com/amp/story/business/companies/india-says-it-is-probing-three-ev-makers-for-fraudulently-availing-subsidies-3300505</t>
  </si>
  <si>
    <t>Zero Motorcycles x Ayala (IMI)</t>
  </si>
  <si>
    <t>Zero Motorcycles, pionir motor listrik premium asal California (beroperasi sejak 2006), masuk pasar Filipina lewat kemitraan dengan Integrated Micro-Electronics Inc. (IMI) — anak usaha konglomerat besar Ayala Corporation — untuk distribusi dan kemungkinan perakitan lokal. Ini contoh pola umum di Filipina: merek asing premium (Zero, Gogoro, BMW CE 04, VinFast, TVS) masuk lewat kemitraan dengan konglomerat lokal, sementara merek domestik murni (NWOW, MotorStar, Lycan, NXT, Mako Moto) masih berjuang membangun skala dan infrastruktur fast-charging yang masih terpusat di Metro Manila.</t>
  </si>
  <si>
    <t>Kemitraan: Zero Motorcycles x IMI (anak usaha Ayala Corporation) | Model bisnis: distribusi awal, potensi rakitan lokal | Tantangan pasar: infrastruktur fast-charging masih terpusat Metro Manila, bengkel lokal minim keahlian EV</t>
  </si>
  <si>
    <t>RideApart / MOTAWILL / Newspress.ph</t>
  </si>
  <si>
    <t>https://www.rideapart.com/news/659758/zero-motorcycles-launch-philippines-ayala/</t>
  </si>
  <si>
    <t>E-Rickshaw &amp; Easy Bike (kekacauan regulasi)</t>
  </si>
  <si>
    <t>Bangladesh punya salah satu populasi kendaraan listrik roda-3 informal terbesar dunia: 4,5-6+ juta e-rickshaw/easy bike (estimasi BPDB &amp; BRTA berbeda), menghidupi \~1,5 juta orang. Namun beroperasi nyaris sepenuhnya di luar regulasi resmi. Pemerintah berulang kali mencoba melarangnya dengan alasan keselamatan — 2021 (dibatalkan usai protes), Mei 2024 (dibatalkan dalam hitungan hari usai protes), dan November 2024 (Mahkamah Agung membatalkan perintah pengadilan tinggi 4 hari kemudian) — pola kebijakan plin-plan yang mencerminkan tarik-ulur serupa riwayat subsidi motor listrik Indonesia. Per 2026 pemerintah mengajukan sistem 8 zona baru untuk Dhaka sebagai upaya regulasi terbaru.</t>
  </si>
  <si>
    <t>Skala: 4,5–6+ juta e-rickshaw/easy bike (estimasi berbagai sumber) | Menghidupi: ~1,5 juta orang | Larangan 2021, Mei 2024, Nov 2024 dibatalkan setelah protes/proses hukum | 2026: rencana sistem 8 zona Dhaka</t>
  </si>
  <si>
    <t>Dhaka Tribune / Dialogue Earth / TBS News / PMC (jurnal akademik)</t>
  </si>
  <si>
    <t>https://www.dhakatribune.com/bangladesh/dhaka/418699/battery-rickshaws-can-the-govt-finally-keep-them</t>
  </si>
  <si>
    <t>Jolta Electric</t>
  </si>
  <si>
    <t>Jolta Electric didirikan pada 2017 oleh Mohammad Azeem dan Usman Sheikh. Dalam wawancara 2021, CEO Usman Sheikh menjelaskan keterlibatan Jolta dalam penyusunan draft EV Policy Pakistan yang kemudian disetujui pada 2019. Jolta memperoleh lisensi produksi EV pada Maret 2021 dan saat wawancara menyebut telah menerima lebih dari 10.000 booking serta menargetkan peningkatan kapasitas hingga 100.000 unit per bulan dalam lima tahun.</t>
  </si>
  <si>
    <t>Berdiri: 2017 | EV Policy disetujui: 2019 | Lisensi produksi EV: Mar 2021 | Booking: 10.000+ unit | Target kapasitas 5 tahun: 100.000 unit/bulan</t>
  </si>
  <si>
    <t>Aurora (Dawn.com) — interview Usman Sheikh, Co-Founder &amp; CEO Jolta Electric</t>
  </si>
  <si>
    <t>https://aurora.dawn.com/news/1144181/interview-usman-sheikh-co-founder-ceo-jolta-electric</t>
  </si>
  <si>
    <t>DOE E-Trike Project (proyek pemerintah)</t>
  </si>
  <si>
    <t>Proyek Philippines: Market Transformation through Introduction of Energy-Efficient Electric Vehicles bertujuan mendorong adopsi e-trike skala besar untuk transportasi publik. Evaluasi Independent Evaluation Department (ADB) menyatakan penilaian keseluruhan proyek sebagai 'Less than successful'.</t>
  </si>
  <si>
    <t>Tujuan: adopsi e-trike skala besar | Fokus: transportasi publik | Evaluasi ADB: 'Less than successful' | Dokumen evaluasi: 17 Okt 2022</t>
  </si>
  <si>
    <t>Asian Development Bank — Independent Evaluation Department</t>
  </si>
  <si>
    <t>https://www.adb.org/documents/philippines-market-transformation-through-introduction-energy-efficient-electric-0</t>
  </si>
  <si>
    <t>Danantara Investment Management x VKTR x Bakrie &amp; Brothers</t>
  </si>
  <si>
    <t>BERKEMBANG</t>
  </si>
  <si>
    <t>Ekosistem E2W</t>
  </si>
  <si>
    <t>PT Danantara Investment Management (DIM) bersama PT VKTR Teknologi Mobilitas Tbk (VKTR) dan induk usahanya PT Bakrie &amp; Brothers Tbk (BNBR) menandatangani indicative non-binding term sheet untuk menjajaki investasi hingga Rp2 triliun guna mempercepat ekosistem kendaraan listrik komersial (bus dan truk listrik) lewat skema Mobility as a Service (MaaS). DIM diposisikan sebagai investor, VKTR sebagai penerima dana, dan BNBR sebagai penjamin. Meski bukan segmen roda-2, kolaborasi ini relevan sebagai konteks pendalaman rantai nilai baterai nasional dan pola pendanaan berbasis Danantara yang juga disebut-sebut akan mendukung skema pembiayaan motor listrik (lihat entri lain terkait insentif MoLiNas).</t>
  </si>
  <si>
    <t>Potensi pendanaan indikatif: hingga Rp2 triliun | Term sheet diteken: 28 Agustus 2026 | Diumumkan ke publik/BEI: 2 September 2026 | Kapasitas produksi VKTR Sakti Industries: hingga 3.000 unit bus &amp; truk/tahun | Bus listrik VKTR beroperasi di Jakarta: 122 unit (per Feb 2026) + 30 unit dalam proses</t>
  </si>
  <si>
    <t>CNN Indonesia / ANTARA News / StockWatch</t>
  </si>
  <si>
    <t>https://www.antaranews.com/berita/5722048/danantara-dan-vktr-sinergi-kembangkan-ekosistem-kendaraan-listrik-ri</t>
  </si>
  <si>
    <t>Kemenperin (Potensi Pasar E2W)</t>
  </si>
  <si>
    <t>Kementerian Perindustrian menilai penetrasi motor listrik di Indonesia masih di bawah 1% dari total motor yang beredar, sehingga ruang pertumbuhan pasar dinilai masih sangat besar meski jumlah merek yang bermain di segmen ini terus bertambah.</t>
  </si>
  <si>
    <t>Penetrasi E2W nasional: &lt;1% | Jumlah merek terus bertambah | Ruang pertumbuhan pasar dinilai masih besar</t>
  </si>
  <si>
    <t>RMOL</t>
  </si>
  <si>
    <t>https://rmol.id/bisnis/read/2026/08/31/720169/motor-listrik-belum-tembus-1-persen-kemenperin-pasarnya-masih-besar</t>
  </si>
  <si>
    <t>Insentif motor listrik pemerintah</t>
  </si>
  <si>
    <t>Pemerintah memastikan skema insentif motor listrik baru disiapkan sebesar Rp3 juta per unit, turun dari Rp6 juta sebelumnya. Anggaran indikatif mencapai Rp3 triliun untuk 1 juta penerima, tetapi mekanisme final masih menunggu proposal dan keputusan lintas kementerian.</t>
  </si>
  <si>
    <t>Insentif: Rp3 juta/unit | Target: 1 juta penerima | Anggaran: Rp3 triliun | Turun 50% dari skema Rp6 juta sebelumnya</t>
  </si>
  <si>
    <t>Suara.com</t>
  </si>
  <si>
    <t>https://amp.suara.com/bisnis/2026/08/31/152811/purbaya-pastikan-insentif-motor-listrik-rp-3-juta-per-unit-turun-dari-rp-6-juta</t>
  </si>
  <si>
    <t>Pembiayaan MoLiNas (Studi RMI)</t>
  </si>
  <si>
    <t>Produk &amp; Teknologi</t>
  </si>
  <si>
    <t>Di tengah penggenjotan program MoLiNas oleh pemerintah, laporan RMI berjudul 'Mobilizing Electric Two-Wheeler Finance in Indonesia' mengungkap akses kredit motor listrik roda-2 masih sangat terbatas. Pembiayaan kendaraan listrik secara keseluruhan (termasuk mobil) memang tumbuh, namun untuk motor listrik spesifik masih terkonsentrasi di segelintir perusahaan multifinance dengan keterlibatan bank yang minim. Tiga faktor utama membuat lembaga pembiayaan berhati-hati: risiko produk/teknologi, ketidakpastian nilai jual kembali, serta ketidakpastian permintaan pasar dan kebijakan. Harga awal yang masih tinggi tetap jadi kendala utama meski biaya operasional &amp; energi lebih rendah.</t>
  </si>
  <si>
    <t>Pembiayaan kendaraan listrik keseluruhan: +34,7% YoY jadi Rp24,60 triliun (data OJK per Jun 2026) | Motor listrik spesifik: masih terkonsentrasi di segelintir multifinance, keterlibatan bank minim | 3 faktor kehati-hatian: risiko produk/teknologi, nilai jual kembali, permintaan pasar &amp; kebijakan</t>
  </si>
  <si>
    <t>Liputan6.com (studi RMI)</t>
  </si>
  <si>
    <t>https://www.liputan6.com/otomotif/read/8276816/molinas-digenjot-kredit-motor-listrik-masih-sangat-sulit#google_vignette</t>
  </si>
  <si>
    <t>Kriteria Resmi MoLiNas (Kemenko Perekonomian)</t>
  </si>
  <si>
    <t>Kemenko Perekonomian mengumumkan empat syarat wajib agar sebuah motor listrik dapat berstatus MoLiNas: (1) tingkat komponen dalam negeri (TKDN) di atas 60% mencakup powertrain, frame/structure, serta plastik dan body panel — dengan tahap awal minimal 40% dan komitmen 10 mitra industri mencapai 60% pada 2028; (2) desain dan rekayasa dikembangkan di dalam negeri (bukan sekadar rakitan lokal atas desain asing); (3) menggunakan baterai berbasis nikel untuk mendukung hilirisasi nasional; dan (4) harga terjangkau sesuai kebutuhan pasar domestik. Baru Alva dan Gesits yang sejauh ini masuk kategori MoLiNas.</t>
  </si>
  <si>
    <t>4 syarat wajib: TKDN &gt;60% (awal 40%, target 2028) | desain/rekayasa lokal | baterai berbasis nikel | harga terjangkau | Baru 2 merek memenuhi: Alva &amp; Gesits | Populasi motor konvensional RI: 145,25 juta unit vs motor listrik baru 229.554 unit (per Des 2025) | Proyeksi permintaan: 1,5 juta unit pada 2028</t>
  </si>
  <si>
    <t>Antara News / CNN Indonesia / Liputan6.com / Kumparan</t>
  </si>
  <si>
    <t>https://www.antaranews.com/berita/5703504/kemenko-perekonomian-ungkap-empat-kriteria-motor-listrik-nasional</t>
  </si>
  <si>
    <t>Peluncuran Resmi MoLiNas (Alva, Gesits, PT Len Industri, Mind ID)</t>
  </si>
  <si>
    <t>Infrastruktur &amp; Baterai</t>
  </si>
  <si>
    <t>Presiden Prabowo Subianto secara resmi meluncurkan program Motor Listrik Nasional (MoLiNas) beserta ekosistem pendukungnya di fasilitas produksi PT Ilectra Motor Group (Alva) di Cikarang, Kabupaten Bekasi. Prabowo menandatangani peresmian pencapaian produksi 20.000 unit motor listrik oleh kelompok Indika (Alva), sembari meninjau juga produksi dari PT Len Industri, Gesits, dan Mind ID. Ia menjanjikan akan kembali meninjau bila produksi menembus 200.000 lalu 2 juta unit, meminta dukungan pembiayaan dari Danantara, dan menyinggung rencana skema motor listrik tanpa uang muka (DP 0%) dengan cicilan kredit murah.</t>
  </si>
  <si>
    <t>Produksi diresmikan: 20.000 unit (kelompok Indika/Alva) | Target lanjutan: 200.000 lalu 2 juta unit/tahun | Proyeksi penghematan subsidi BBM: Rp82,2 triliun (2027-2037, asumsi 11 juta unit di 2037) | Proyeksi nilai ekonomi ekosistem: Rp150 triliun (2026-2031) | Proyeksi lapangan kerja: ~215.000 (manufaktur, komponen, baterai, infrastruktur pengisian)</t>
  </si>
  <si>
    <t>GridOto / Kompas.com / Liputan6.com / Antara</t>
  </si>
  <si>
    <t>https://www.gridoto.com/read/224404160/prabowo-resmi-luncurkan-20000-motor-listrik-nasional-tanpa-dp-dan-cicilan-kredit-murah</t>
  </si>
  <si>
    <t>Alva (Indika Energy)</t>
  </si>
  <si>
    <t>SUKSES</t>
  </si>
  <si>
    <t>Alva, merek motor listrik milik Indika Energy dengan pabrik di Cikarang (kapasitas klaim 100.000 unit/tahun), mencatat penjualan naik 52,9% pada 2025 (dari 2.948 ke 4.508 unit) meski tanpa subsidi pemerintah, dan telah menanamkan investasi lebih dari Rp1 triliun untuk ekosistem terintegrasi (produksi, charging, purnajual). Menargetkan pertumbuhan &gt;50% lagi di 2026.</t>
  </si>
  <si>
    <t>Penjualan 2025: 4.508 unit (+52,9%) | Investasi ekosistem: &gt;Rp1 triliun | Jaringan Boost Charge: 150 → 490+ konektor (H1 2026) | Total jarak tempuh: 78 juta km (per Jun 2026)</t>
  </si>
  <si>
    <t>Antara News / Kontan.co.id / Otorider</t>
  </si>
  <si>
    <t>https://otomotif.antaranews.com/berita/5620441/investasi-alva-di-indonesia-tembus-lebih-dari-rp1-triliun</t>
  </si>
  <si>
    <t>Gesits Motor Nusantara</t>
  </si>
  <si>
    <t>Gesits, pionir motor listrik nasional Indonesia (didukung BUMN &amp; Jokowi sejak 2018), diterpa berulang kali rumor bangkrut/gulung tikar di media sosial pada Mar &amp; Apr 2026. Manajemen membantah dan menegaskan masih beroperasi &amp; berjualan, namun diakui penjualan menurun dan jumlah dealer/showroom jauh berkurang dibanding masa awal ekspansi.</t>
  </si>
  <si>
    <t>Rumor bangkrut dibantah resmi 2x (Mar &amp; Apr 2026) | Model terbaru: Gesits GV1 (hasil kolaborasi dengan Volta) | Jumlah dealer menyusut dari puncaknya</t>
  </si>
  <si>
    <t>Suara.com / Kompas.com / APMotor</t>
  </si>
  <si>
    <t>https://www.suara.com/otomotif/2026/04/14/143808/apakah-motor-listrik-gesits-bangkrut-begini-rangkuman-faktanya#google_vignette</t>
  </si>
  <si>
    <t>Polytron Fox (Fox-R/200/350/500)</t>
  </si>
  <si>
    <t>Polytron, produsen elektronik nasional, sukses besar menembus pasar motor listrik lewat lini Fox — Fox-R/200 menjadi motor listrik lokal terlaris di Indonesia dengan penjualan mendekati 40.000 unit, didorong harga kompetitif (~Rp14-20 juta berkat subsidi), skema sewa baterai Rp200.000/bulan, dan jaringan servis yang kuat hingga ke kota tier-2. Fox 350 jadi tulang punggung penjualan bahkan setelah subsidi dihentikan.</t>
  </si>
  <si>
    <t>Penjualan: ~40.000 unit | Harga: mulai ~Rp14-20 juta | Sewa baterai: Rp200.000/bulan | Dominasi pasar: DKI Jakarta &amp; Jawa Tengah</t>
  </si>
  <si>
    <t>Radar Banyuwangi / Mobil123 / Motoresto</t>
  </si>
  <si>
    <t>https://www.mobil123.com/berita/motor-listrik-polytron-ganas-penjualan-tembus-40-000-unit-dominasi-jakarta-dan-jawa-tengah-146663/146663</t>
  </si>
  <si>
    <t>Neta Auto Indonesia (mobil listrik, konteks ekosistem)</t>
  </si>
  <si>
    <t>Meski bukan roda-2, kasus ini relevan sebagai konteks ekosistem EV Indonesia: pabrik mobil listrik Neta asal China di Indonesia diterpa isu pailit menyusul kesulitan finansial induk perusahaannya di China, memaksa unit lokal bermitra dengan Maersk untuk menjamin ketersediaan suku cadang guna menenangkan pasar.</t>
  </si>
  <si>
    <t>Isu pailit induk usaha di China | Mitigasi: kerja sama logistik suku cadang dengan Maersk</t>
  </si>
  <si>
    <t>Media24</t>
  </si>
  <si>
    <t>https://www.media24.id/auto-tekno/681482533/diterpa-isu-pailit-pabrik-mobil-listrik-asal-china-neta-bertaruh-pada-suku-cadang-di-pasar-otomotif-indonesia</t>
  </si>
  <si>
    <t>1. Engineering, Technology &amp; R&amp;D; 2. Raw Materials &amp; Components; 7. Infrastructure &amp; Charging</t>
  </si>
  <si>
    <t>2. Raw Materials &amp; Components; 3. Manufacturing &amp; Assembly; 4. Supply Chain &amp; Logistics</t>
  </si>
  <si>
    <t>3. Manufacturing &amp; Assembly; 4. Supply Chain &amp; Logistics; 5. Sales, Distribution &amp; Market</t>
  </si>
  <si>
    <t>1. Engineering, Technology &amp; R&amp;D; 2. Raw Materials &amp; Components</t>
  </si>
  <si>
    <t>1. Engineering, Technology &amp; R&amp;D; 2. Raw Materials &amp; Components; 3. Manufacturing &amp; Assembly; 4. Supply Chain &amp; Logistics; 9. Circular Economy &amp; Recycling</t>
  </si>
  <si>
    <t>Policy, Regulation &amp; Standards; Technology, Data &amp; Digital</t>
  </si>
  <si>
    <t>2. Raw Materials &amp; Components; 3. Manufacturing &amp; Assembly; 4. Supply Chain &amp; Logistics; 5. Sales, Distribution &amp; Market; 6. User, Service &amp; After-Sales</t>
  </si>
  <si>
    <t>Policy, Regulation &amp; Standards</t>
  </si>
  <si>
    <t>5. Sales, Distribution &amp; Market; 6. User, Service &amp; After-Sales; 8. Financing &amp; Investment</t>
  </si>
  <si>
    <t>Perlu validasi</t>
  </si>
  <si>
    <t>Governance &amp; Institutional Support</t>
  </si>
  <si>
    <t>2. Raw Materials &amp; Components</t>
  </si>
  <si>
    <t>4. Supply Chain &amp; Logistics; 6. User, Service &amp; After-Sales</t>
  </si>
  <si>
    <t>3. Manufacturing &amp; Assembly; 4. Supply Chain &amp; Logistics; 5. Sales, Distribution &amp; Market; 6. User, Service &amp; After-Sales; 8. Financing &amp; Investment</t>
  </si>
  <si>
    <t>3. Manufacturing &amp; Assembly</t>
  </si>
  <si>
    <t>Policy, Regulation &amp; Standards; Human Capital &amp; Capability</t>
  </si>
  <si>
    <t>5. Sales, Distribution &amp; Market; 6. User, Service &amp; After-Sales; 7. Infrastructure &amp; Charging</t>
  </si>
  <si>
    <t>9. Circular Economy &amp; Recycling</t>
  </si>
  <si>
    <t>5. Sales, Distribution &amp; Market; 8. Financing &amp; Investment</t>
  </si>
  <si>
    <t>1. Engineering, Technology &amp; R&amp;D; 2. Raw Materials &amp; Components; 3. Manufacturing &amp; Assembly; 4. Supply Chain &amp; Logistics; 6. User, Service &amp; After-Sales</t>
  </si>
  <si>
    <t>6. User, Service &amp; After-Sales</t>
  </si>
  <si>
    <t>5. Sales, Distribution &amp; Market; 6. User, Service &amp; After-Sales</t>
  </si>
  <si>
    <t>Human Capital &amp; Capability</t>
  </si>
  <si>
    <t>3. Manufacturing &amp; Assembly; 4. Supply Chain &amp; Logistics; 6. User, Service &amp; After-Sales</t>
  </si>
  <si>
    <t>1. Engineering, Technology &amp; R&amp;D; 3. Manufacturing &amp; Assembly; 4. Supply Chain &amp; Logistics; 5. Sales, Distribution &amp; Market</t>
  </si>
  <si>
    <t>LEGEND
(Value Chain Layer)</t>
  </si>
  <si>
    <t>Engineering, Technology &amp; R&amp;D</t>
  </si>
  <si>
    <t>Raw Materials &amp; Components</t>
  </si>
  <si>
    <t>Manufacturing &amp; Assembly</t>
  </si>
  <si>
    <t>Supply Chain &amp; Logistics</t>
  </si>
  <si>
    <t>Sales, Distribution &amp; Market</t>
  </si>
  <si>
    <t>User, Service &amp; After-Sales</t>
  </si>
  <si>
    <t>Infrastructure &amp; Charging</t>
  </si>
  <si>
    <t>Financing &amp; Investment</t>
  </si>
  <si>
    <t>Circular Economy &amp; Recycling</t>
  </si>
  <si>
    <t xml:space="preserve">Ecosystem Value Chain Layer </t>
  </si>
  <si>
    <t xml:space="preserve">Cross-Cutting Enabler </t>
  </si>
  <si>
    <r>
      <rPr>
        <b/>
        <sz val="7"/>
        <color theme="1"/>
        <rFont val="Calibri"/>
        <family val="2"/>
        <scheme val="major"/>
      </rPr>
      <t xml:space="preserve"> </t>
    </r>
    <r>
      <rPr>
        <b/>
        <sz val="10.5"/>
        <color theme="1"/>
        <rFont val="Calibri"/>
        <family val="2"/>
        <scheme val="major"/>
      </rPr>
      <t>Human Capital &amp; Capability</t>
    </r>
  </si>
  <si>
    <t>LEGEND
(Cross-Cutting Enabler)</t>
  </si>
  <si>
    <t>Last Engagement / Update</t>
  </si>
  <si>
    <t>Follow-Up / Commitment</t>
  </si>
  <si>
    <t>Relationship Status</t>
  </si>
  <si>
    <t>Engagement 
Status</t>
  </si>
  <si>
    <t>Planned</t>
  </si>
  <si>
    <t>Ongoing</t>
  </si>
  <si>
    <t>Completed</t>
  </si>
  <si>
    <t>STATUS STAKEHOLDER</t>
  </si>
  <si>
    <t>Active</t>
  </si>
  <si>
    <t>Need Follow Up</t>
  </si>
  <si>
    <t>Continue technical discussion on connector, charging interface, research results, standardization direction and potential application in MOLINAS.</t>
  </si>
  <si>
    <t>Continue battery standardization and alignment on battery specifications, supply readiness and OEM integration.</t>
  </si>
  <si>
    <t>Continue OEM/product discussion, including technical specifications, production readiness, market segmentation and partnership alignment.</t>
  </si>
  <si>
    <t>Continue OEM/product discussion, including technical specifications, production readiness, battery/brick alignment and partnership alignment.</t>
  </si>
  <si>
    <t>Continue battery standardization discussion and alignment of GESITS battery technology/BRICK with MOLINAS requirements.</t>
  </si>
  <si>
    <t>Map and schedule engagement with Kemenperin to discuss regulatory pathway, TKDN, industrial regulation, OEM, manufacturing and supply-chain readiness.</t>
  </si>
  <si>
    <t>Schedule engagement to clarify type approval, SUT, SRUT and vehicle roadworthiness pathway.</t>
  </si>
  <si>
    <t>Continue follow-up on fiscal/incentive framework and inputs from the Kemenkeu FGD.</t>
  </si>
  <si>
    <t>Follow up strategic program / PSN alignment and support framework.</t>
  </si>
  <si>
    <t>Schedule engagement on mineral supply and downstreaming alignment for battery ecosystem.</t>
  </si>
  <si>
    <t>Follow up defense use case, demand requirements and strategic alignment discussed with Kemhan.</t>
  </si>
  <si>
    <t>Engage defense users to validate requirements and potential demand commitment.</t>
  </si>
  <si>
    <t>Follow up defense use case, requirements and strategic procurement pathway after Dirjen Pothan engagement.</t>
  </si>
  <si>
    <t>Continue coordination with Danantara/DDMF on timeline, budget needs, Pra-FS/FS scope and financing/program alignment.</t>
  </si>
  <si>
    <t>Finalize and conduct financing discussion with Himbara on B2B financing scheme and market readiness.</t>
  </si>
  <si>
    <t>Schedule engagement on workforce requirements, competencies, training, certification and employment absorption.</t>
  </si>
  <si>
    <t>Schedule engagement with PLN on charging station infrastructure and potential Len role.</t>
  </si>
  <si>
    <t>Schedule engagement on battery waste, recycling and environmental/circularity requirements.</t>
  </si>
  <si>
    <t>Schedule engagement on trade/export-import policy and requirements relevant to MOLINAS.</t>
  </si>
  <si>
    <t>Schedule engagement on financing ecosystem and relevant regulatory considerations.</t>
  </si>
  <si>
    <t>Schedule engagement on battery standardization/SNI, including the MOLINAS battery standardization workshop.</t>
  </si>
  <si>
    <t>Schedule engagement on certification pathway and certification requirements.</t>
  </si>
  <si>
    <t>Schedule engagement on military qualification requirements for MOLINAS use cases.</t>
  </si>
  <si>
    <t>Prioritize engagement with Grab to validate fleet/offtake requirements and potential demand.</t>
  </si>
  <si>
    <t>Prioritize engagement with Gojek to validate fleet/offtake requirements and potential demand.</t>
  </si>
  <si>
    <t>Engage Pos Indonesia to validate commercial fleet requirements and potential deployment.</t>
  </si>
  <si>
    <t>Engage JNE to validate commercial fleet requirements and potential deployment.</t>
  </si>
  <si>
    <t>Continue industry alignment and policy discussion; validate AESMOLI role and concrete engagement scope.</t>
  </si>
  <si>
    <t>Identify the specific partner entity and schedule engagement to validate business model and partnership structure.</t>
  </si>
  <si>
    <t>Schedule engagement to align scope for design enhancement, mold/plastic injection readiness, training and mass-production preparation.</t>
  </si>
  <si>
    <t>Conduct scheduled visit with Matius – Adyawinsa and capture follow-up actions.</t>
  </si>
  <si>
    <t>Schedule engagement on digital/connectivity ecosystem, including mold making, plastic injection and vocational capacity.</t>
  </si>
  <si>
    <t>MOLINAS PIC CONTACTS</t>
  </si>
  <si>
    <t>No.</t>
  </si>
  <si>
    <t>Organization</t>
  </si>
  <si>
    <t>Contact Person</t>
  </si>
  <si>
    <t>Position</t>
  </si>
  <si>
    <t>Phone / Mobile</t>
  </si>
  <si>
    <t>Email</t>
  </si>
  <si>
    <t>Address / Notes</t>
  </si>
  <si>
    <t>PT Adyawinsa Stamping Industries</t>
  </si>
  <si>
    <t>Mateus Suwarno</t>
  </si>
  <si>
    <t>Managing Director</t>
  </si>
  <si>
    <t>0812 1055 776</t>
  </si>
  <si>
    <t>mateus@adyawinsa.com</t>
  </si>
  <si>
    <t>Jl. Surotokunto No.109, Karawang, Jawa Barat</t>
  </si>
  <si>
    <t>PT Adyawinsa Plastics Industry</t>
  </si>
  <si>
    <t>Ardiyansyah</t>
  </si>
  <si>
    <t>PPIC &amp; Production Director</t>
  </si>
  <si>
    <t>Jl. Angsana Raya Blok L6 No. 1, Delta Silicon I, Lippo Cikarang, Kab. Bekasi, Jawa Barat 17530</t>
  </si>
  <si>
    <t>PT ATMI IGI Center / Politeknik ATMI Surakarta</t>
  </si>
  <si>
    <t>Yustinus Wahyo Nursanto</t>
  </si>
  <si>
    <t>ATMI IGI Director</t>
  </si>
  <si>
    <t>+62 815 7976 727; +62 811 2636 681</t>
  </si>
  <si>
    <t>Jl. Adisucipto / Jl. Mojo No. 1, Karangasem, Laweyan, Surakarta 57145</t>
  </si>
  <si>
    <t>PT Adyawinsa Electrical and Power</t>
  </si>
  <si>
    <t>Praditya Sih Ardihantoro</t>
  </si>
  <si>
    <t>Director</t>
  </si>
  <si>
    <t>+62 822 8222 7866</t>
  </si>
  <si>
    <t>praditya.ardihantoro@adyawinsa.com</t>
  </si>
  <si>
    <t>Jl. Industri Selatan Blok II No. 4, Kawasan Industri Jababeka II, Desa Pasir Sari, Cikarang Selatan, Bekasi, Jawa Barat 17550</t>
  </si>
  <si>
    <t>PT Industri Baterai Indonesia (IBC)</t>
  </si>
  <si>
    <t>Niko Chandra</t>
  </si>
  <si>
    <t>Director of Business Development</t>
  </si>
  <si>
    <t>+62 812 1090 867</t>
  </si>
  <si>
    <t>niko.chandra@indonesiabatterycorp.com</t>
  </si>
  <si>
    <t>PT Industri Baterai Indonesia; Menara Mandiri II Lt. 3A, Jl. Jenderal Sudirman Kav. 54-55, Jakarta 12190</t>
  </si>
  <si>
    <t>PT Tri Centrum Fortuna</t>
  </si>
  <si>
    <t>FX. Kuncara Agus Prabawa</t>
  </si>
  <si>
    <t>Operational Director</t>
  </si>
  <si>
    <t>+62 815 1835 132</t>
  </si>
  <si>
    <t>kuncara@tricentrumfortuna.com</t>
  </si>
  <si>
    <t>Head Office &amp; Factory: Jl. Mitra Raya II No. 7-8, Parungmulya, Kec. Ciampel, Karawang, Jawa Barat 41363</t>
  </si>
  <si>
    <t>PT Pindad</t>
  </si>
  <si>
    <t>Ujang Sakiman</t>
  </si>
  <si>
    <t>General Manager, Kendaraan Multifungsi Nasional</t>
  </si>
  <si>
    <t>ujangsakiman@pindad.com</t>
  </si>
  <si>
    <t>Jl. Jend. Gatot Subroto No. 517, Bandung 40284, Indonesia</t>
  </si>
  <si>
    <t>Asosiasi Perusahaan Pembiayaan Indonesia (APPI)</t>
  </si>
  <si>
    <t>Sri Haryati</t>
  </si>
  <si>
    <t>Deputy Director</t>
  </si>
  <si>
    <t>+62 816 1161 111; +62 21 2982 0190</t>
  </si>
  <si>
    <t>sharyati@ifsa.or.id</t>
  </si>
  <si>
    <t>Kota Kasablanka (EightyEight@Kasablanka), Tower A Lantai 7 Unit D, Jl. Casablanca Kavling 88, Jakarta 12870</t>
  </si>
  <si>
    <t>University of California, Davis – Institute of Transportation Studies</t>
  </si>
  <si>
    <t>Ridhi Palia</t>
  </si>
  <si>
    <t>Research Associate, India ZEV Research Centre</t>
  </si>
  <si>
    <t>+91 84476 14701</t>
  </si>
  <si>
    <t>rpalia@ucdavis.edu</t>
  </si>
  <si>
    <t>https://its.ucdavis.edu/</t>
  </si>
  <si>
    <t>PT Indomobil Finance Indonesia</t>
  </si>
  <si>
    <t>Nono Marsono</t>
  </si>
  <si>
    <t>2 Wheels Division Head</t>
  </si>
  <si>
    <t>+62 812 1610 5000; +62 21 2918 5400 ext. 15400</t>
  </si>
  <si>
    <t>Indomobil Tower Lt. 9, Jl. MT. Haryono Kav. 11, Jakarta 13330</t>
  </si>
  <si>
    <t>+62 815 9653613</t>
  </si>
  <si>
    <t>ardiyansyah.laode@adyawinsa.com</t>
  </si>
  <si>
    <t>wahyu@atmi.co.id</t>
  </si>
  <si>
    <t>P: +62 22 7312073 ext. 2393;
M: +62 819 3134 2510</t>
  </si>
  <si>
    <t>nono_m@indomobilfinance.com</t>
  </si>
  <si>
    <t>Fiskal, Perdagangan &amp; Pembiayaan, Program/investment/strategic partnership alignment</t>
  </si>
  <si>
    <t>Manufaktur &amp; Perakitan, Ecosystem/capability/SDM</t>
  </si>
  <si>
    <t>WS2 – Ecosystem; WS4 – Finance; WS2 – 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</si>
</sst>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dd\-mmm\-yyyy"/>
  </numFmts>
  <fonts count="42" x14ac:knownFonts="1">
    <font>
      <sz val="11"/>
      <color theme="1"/>
      <name val="Calibri"/>
      <scheme val="minor"/>
    </font>
    <font>
      <sz val="11"/>
      <color theme="1"/>
      <name val="Calibri"/>
      <family val="2"/>
      <scheme val="minor"/>
    </font>
    <font>
      <sz val="11"/>
      <color theme="1"/>
      <name val="Calibri"/>
    </font>
    <font>
      <b/>
      <sz val="12"/>
      <color rgb="FFFFFFFF"/>
      <name val="Calibri"/>
    </font>
    <font>
      <sz val="11"/>
      <name val="Calibri"/>
    </font>
    <font>
      <b/>
      <sz val="16"/>
      <color rgb="FFFFFFFF"/>
      <name val="Calibri"/>
    </font>
    <font>
      <i/>
      <sz val="11"/>
      <color rgb="FF404040"/>
      <name val="Calibri"/>
    </font>
    <font>
      <i/>
      <sz val="12"/>
      <color rgb="FF17365D"/>
      <name val="Calibri"/>
    </font>
    <font>
      <sz val="12"/>
      <color theme="1"/>
      <name val="Calibri"/>
    </font>
    <font>
      <b/>
      <sz val="11"/>
      <color rgb="FF17365D"/>
      <name val="Calibri"/>
    </font>
    <font>
      <b/>
      <sz val="11"/>
      <color rgb="FFFFFFFF"/>
      <name val="Calibri"/>
    </font>
    <font>
      <b/>
      <sz val="12"/>
      <color theme="1"/>
      <name val="Calibri"/>
    </font>
    <font>
      <b/>
      <sz val="11"/>
      <color theme="1"/>
      <name val="Calibri"/>
    </font>
    <font>
      <b/>
      <sz val="14"/>
      <color theme="1"/>
      <name val="Calibri"/>
    </font>
    <font>
      <sz val="11"/>
      <color theme="1"/>
      <name val="Calibri"/>
      <scheme val="minor"/>
    </font>
    <font>
      <sz val="11"/>
      <color rgb="FF000000"/>
      <name val="Calibri"/>
    </font>
    <font>
      <i/>
      <sz val="12"/>
      <color rgb="FF667085"/>
      <name val="Calibri"/>
    </font>
    <font>
      <u/>
      <sz val="11"/>
      <color rgb="FF0000FF"/>
      <name val="Calibri"/>
    </font>
    <font>
      <b/>
      <sz val="12"/>
      <color rgb="FF1F3557"/>
      <name val="Calibri"/>
    </font>
    <font>
      <b/>
      <sz val="12"/>
      <color rgb="FF000000"/>
      <name val="Calibri"/>
    </font>
    <font>
      <i/>
      <sz val="9"/>
      <color rgb="FF666666"/>
      <name val="Calibri"/>
    </font>
    <font>
      <sz val="12"/>
      <color rgb="FF000000"/>
      <name val="Calibri"/>
    </font>
    <font>
      <sz val="12"/>
      <color rgb="FF263238"/>
      <name val="Calibri"/>
    </font>
    <font>
      <u/>
      <sz val="12"/>
      <color theme="1"/>
      <name val="Calibri"/>
    </font>
    <font>
      <u/>
      <sz val="12"/>
      <color rgb="FF0563C1"/>
      <name val="Calibri"/>
    </font>
    <font>
      <b/>
      <sz val="11"/>
      <color theme="0"/>
      <name val="Calibri"/>
    </font>
    <font>
      <sz val="11"/>
      <color theme="1"/>
      <name val="Arial"/>
    </font>
    <font>
      <u/>
      <sz val="11"/>
      <color rgb="FF1155CC"/>
      <name val="Calibri"/>
    </font>
    <font>
      <u/>
      <sz val="11"/>
      <color theme="10"/>
      <name val="Calibri"/>
      <scheme val="minor"/>
    </font>
    <font>
      <b/>
      <sz val="11"/>
      <color theme="1"/>
      <name val="Calibri"/>
      <family val="2"/>
      <scheme val="minor"/>
    </font>
    <font>
      <b/>
      <sz val="14"/>
      <color theme="1"/>
      <name val="Calibri"/>
      <family val="2"/>
    </font>
    <font>
      <sz val="12"/>
      <color theme="1"/>
      <name val="Calibri"/>
      <family val="2"/>
    </font>
    <font>
      <b/>
      <sz val="10.5"/>
      <color theme="1"/>
      <name val="Calibri"/>
      <family val="2"/>
      <scheme val="major"/>
    </font>
    <font>
      <b/>
      <sz val="11"/>
      <name val="Calibri"/>
      <family val="2"/>
      <scheme val="major"/>
    </font>
    <font>
      <b/>
      <sz val="11"/>
      <color theme="1"/>
      <name val="Calibri"/>
      <family val="2"/>
      <scheme val="major"/>
    </font>
    <font>
      <b/>
      <sz val="11"/>
      <color rgb="FFFFFFFF"/>
      <name val="Calibri"/>
      <family val="2"/>
    </font>
    <font>
      <b/>
      <sz val="12"/>
      <color rgb="FFFFFFFF"/>
      <name val="Calibri"/>
      <family val="2"/>
    </font>
    <font>
      <b/>
      <sz val="7"/>
      <color theme="1"/>
      <name val="Calibri"/>
      <family val="2"/>
      <scheme val="major"/>
    </font>
    <font>
      <b/>
      <sz val="12"/>
      <color theme="1"/>
      <name val="Calibri"/>
      <family val="2"/>
    </font>
    <font>
      <b/>
      <sz val="11"/>
      <name val="Calibri"/>
      <family val="2"/>
    </font>
    <font>
      <b/>
      <sz val="16"/>
      <color theme="1"/>
      <name val="Calibri"/>
      <family val="2"/>
    </font>
    <font>
      <b/>
      <sz val="14"/>
      <name val="Calibri"/>
      <family val="2"/>
    </font>
  </fonts>
  <fills count="70">
    <fill>
      <patternFill patternType="none"/>
    </fill>
    <fill>
      <patternFill patternType="gray125"/>
    </fill>
    <fill>
      <patternFill patternType="solid">
        <fgColor rgb="FF95B3D7"/>
        <bgColor rgb="FF95B3D7"/>
      </patternFill>
    </fill>
    <fill>
      <patternFill patternType="solid">
        <fgColor rgb="FF17365D"/>
        <bgColor rgb="FF17365D"/>
      </patternFill>
    </fill>
    <fill>
      <patternFill patternType="solid">
        <fgColor rgb="FFD9EAF7"/>
        <bgColor rgb="FFD9EAF7"/>
      </patternFill>
    </fill>
    <fill>
      <patternFill patternType="solid">
        <fgColor rgb="FF1F4E78"/>
        <bgColor rgb="FF1F4E78"/>
      </patternFill>
    </fill>
    <fill>
      <patternFill patternType="solid">
        <fgColor rgb="FFDAEEF3"/>
        <bgColor rgb="FFDAEEF3"/>
      </patternFill>
    </fill>
    <fill>
      <patternFill patternType="solid">
        <fgColor rgb="FFE2F0D9"/>
        <bgColor rgb="FFE2F0D9"/>
      </patternFill>
    </fill>
    <fill>
      <patternFill patternType="solid">
        <fgColor rgb="FFEAF2F8"/>
        <bgColor rgb="FFEAF2F8"/>
      </patternFill>
    </fill>
    <fill>
      <patternFill patternType="solid">
        <fgColor rgb="FFFFF2CC"/>
        <bgColor rgb="FFFFF2CC"/>
      </patternFill>
    </fill>
    <fill>
      <patternFill patternType="solid">
        <fgColor rgb="FF2F75B5"/>
        <bgColor rgb="FF2F75B5"/>
      </patternFill>
    </fill>
    <fill>
      <patternFill patternType="solid">
        <fgColor rgb="FFFCE4D6"/>
        <bgColor rgb="FFFCE4D6"/>
      </patternFill>
    </fill>
    <fill>
      <patternFill patternType="solid">
        <fgColor rgb="FFF4CCCC"/>
        <bgColor rgb="FFF4CCCC"/>
      </patternFill>
    </fill>
    <fill>
      <patternFill patternType="solid">
        <fgColor rgb="FF244061"/>
        <bgColor rgb="FF244061"/>
      </patternFill>
    </fill>
    <fill>
      <patternFill patternType="solid">
        <fgColor rgb="FF245B83"/>
        <bgColor rgb="FF245B83"/>
      </patternFill>
    </fill>
    <fill>
      <patternFill patternType="solid">
        <fgColor rgb="FFCE7270"/>
        <bgColor rgb="FFCE7270"/>
      </patternFill>
    </fill>
    <fill>
      <patternFill patternType="solid">
        <fgColor rgb="FF632423"/>
        <bgColor rgb="FF632423"/>
      </patternFill>
    </fill>
    <fill>
      <patternFill patternType="solid">
        <fgColor rgb="FF5283BE"/>
        <bgColor rgb="FF5283BE"/>
      </patternFill>
    </fill>
    <fill>
      <patternFill patternType="solid">
        <fgColor rgb="FF2E74B4"/>
        <bgColor rgb="FF2E74B4"/>
      </patternFill>
    </fill>
    <fill>
      <patternFill patternType="solid">
        <fgColor rgb="FFDBE5F1"/>
        <bgColor rgb="FFDBE5F1"/>
      </patternFill>
    </fill>
    <fill>
      <patternFill patternType="solid">
        <fgColor rgb="FF404040"/>
        <bgColor rgb="FF404040"/>
      </patternFill>
    </fill>
    <fill>
      <patternFill patternType="solid">
        <fgColor rgb="FF938953"/>
        <bgColor rgb="FF938953"/>
      </patternFill>
    </fill>
    <fill>
      <patternFill patternType="solid">
        <fgColor rgb="FF3F7F4C"/>
        <bgColor rgb="FF3F7F4C"/>
      </patternFill>
    </fill>
    <fill>
      <patternFill patternType="solid">
        <fgColor rgb="FFE5B8B7"/>
        <bgColor rgb="FFE5B8B7"/>
      </patternFill>
    </fill>
    <fill>
      <patternFill patternType="solid">
        <fgColor rgb="FFFFFF99"/>
        <bgColor rgb="FFFFFF99"/>
      </patternFill>
    </fill>
    <fill>
      <patternFill patternType="solid">
        <fgColor rgb="FFE5DFEC"/>
        <bgColor rgb="FFE5DFEC"/>
      </patternFill>
    </fill>
    <fill>
      <patternFill patternType="solid">
        <fgColor rgb="FFD99594"/>
        <bgColor rgb="FFD99594"/>
      </patternFill>
    </fill>
    <fill>
      <patternFill patternType="solid">
        <fgColor rgb="FF953734"/>
        <bgColor rgb="FF953734"/>
      </patternFill>
    </fill>
    <fill>
      <patternFill patternType="solid">
        <fgColor rgb="FF8DB3E2"/>
        <bgColor rgb="FF8DB3E2"/>
      </patternFill>
    </fill>
    <fill>
      <patternFill patternType="solid">
        <fgColor rgb="FF5B9BD5"/>
        <bgColor rgb="FF5B9BD5"/>
      </patternFill>
    </fill>
    <fill>
      <patternFill patternType="solid">
        <fgColor rgb="FFB8CCE4"/>
        <bgColor rgb="FFB8CCE4"/>
      </patternFill>
    </fill>
    <fill>
      <patternFill patternType="solid">
        <fgColor rgb="FFDDD9C3"/>
        <bgColor rgb="FFDDD9C3"/>
      </patternFill>
    </fill>
    <fill>
      <patternFill patternType="solid">
        <fgColor rgb="FFFDE9D9"/>
        <bgColor rgb="FFFDE9D9"/>
      </patternFill>
    </fill>
    <fill>
      <patternFill patternType="solid">
        <fgColor rgb="FFEAF1DD"/>
        <bgColor rgb="FFEAF1DD"/>
      </patternFill>
    </fill>
    <fill>
      <patternFill patternType="solid">
        <fgColor rgb="FF70AD47"/>
        <bgColor rgb="FF70AD47"/>
      </patternFill>
    </fill>
    <fill>
      <patternFill patternType="solid">
        <fgColor rgb="FF1F3557"/>
        <bgColor rgb="FF1F3557"/>
      </patternFill>
    </fill>
    <fill>
      <patternFill patternType="solid">
        <fgColor theme="6"/>
        <bgColor theme="6"/>
      </patternFill>
    </fill>
    <fill>
      <patternFill patternType="solid">
        <fgColor rgb="FF4F81BD"/>
        <bgColor rgb="FF4F81BD"/>
      </patternFill>
    </fill>
    <fill>
      <patternFill patternType="solid">
        <fgColor rgb="FFFFFFFF"/>
        <bgColor rgb="FFFFFFFF"/>
      </patternFill>
    </fill>
    <fill>
      <patternFill patternType="solid">
        <fgColor rgb="FFCCC0D9"/>
        <bgColor rgb="FFCCC0D9"/>
      </patternFill>
    </fill>
    <fill>
      <patternFill patternType="solid">
        <fgColor rgb="FFF5F7FA"/>
        <bgColor rgb="FFF5F7FA"/>
      </patternFill>
    </fill>
    <fill>
      <patternFill patternType="solid">
        <fgColor rgb="FFF2DBDB"/>
        <bgColor rgb="FFF2DBDB"/>
      </patternFill>
    </fill>
    <fill>
      <patternFill patternType="solid">
        <fgColor rgb="FFFBD4B4"/>
        <bgColor rgb="FFFBD4B4"/>
      </patternFill>
    </fill>
    <fill>
      <patternFill patternType="solid">
        <fgColor rgb="FFD6E3BC"/>
        <bgColor rgb="FFD6E3BC"/>
      </patternFill>
    </fill>
    <fill>
      <patternFill patternType="solid">
        <fgColor rgb="FFFABF8F"/>
        <bgColor rgb="FFFABF8F"/>
      </patternFill>
    </fill>
    <fill>
      <patternFill patternType="solid">
        <fgColor rgb="FFB6DDE8"/>
        <bgColor rgb="FFB6DDE8"/>
      </patternFill>
    </fill>
    <fill>
      <patternFill patternType="solid">
        <fgColor rgb="FFFFFF66"/>
        <bgColor rgb="FFFFFF66"/>
      </patternFill>
    </fill>
    <fill>
      <patternFill patternType="solid">
        <fgColor rgb="FFEAF3F8"/>
        <bgColor rgb="FFEAF3F8"/>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4" tint="-0.249977111117893"/>
        <bgColor rgb="FF17365D"/>
      </patternFill>
    </fill>
    <fill>
      <patternFill patternType="solid">
        <fgColor theme="4" tint="-0.249977111117893"/>
        <bgColor indexed="64"/>
      </patternFill>
    </fill>
    <fill>
      <patternFill patternType="solid">
        <fgColor theme="4" tint="0.39997558519241921"/>
        <bgColor rgb="FF17365D"/>
      </patternFill>
    </fill>
    <fill>
      <patternFill patternType="solid">
        <fgColor theme="4" tint="0.59999389629810485"/>
        <bgColor rgb="FF17365D"/>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59999389629810485"/>
        <bgColor rgb="FFDAEEF3"/>
      </patternFill>
    </fill>
    <fill>
      <patternFill patternType="solid">
        <fgColor rgb="FF1F4E78"/>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rgb="FFC7D5E0"/>
      </left>
      <right style="thin">
        <color rgb="FFC7D5E0"/>
      </right>
      <top style="thin">
        <color rgb="FFC7D5E0"/>
      </top>
      <bottom style="thin">
        <color rgb="FFC7D5E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top/>
      <bottom style="thin">
        <color rgb="FFD9E1F2"/>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rgb="FFE1E5EA"/>
      </bottom>
      <diagonal/>
    </border>
    <border>
      <left/>
      <right/>
      <top/>
      <bottom style="thin">
        <color rgb="FFE1E5EA"/>
      </bottom>
      <diagonal/>
    </border>
    <border>
      <left/>
      <right/>
      <top/>
      <bottom style="thin">
        <color rgb="FFE1E5EA"/>
      </bottom>
      <diagonal/>
    </border>
    <border>
      <left/>
      <right/>
      <top/>
      <bottom style="thin">
        <color rgb="FFE1E5EA"/>
      </bottom>
      <diagonal/>
    </border>
    <border>
      <left/>
      <right/>
      <top/>
      <bottom style="thin">
        <color rgb="FFE1E5EA"/>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theme="1"/>
      </left>
      <right/>
      <top/>
      <bottom/>
      <diagonal/>
    </border>
    <border>
      <left/>
      <right style="thin">
        <color theme="1"/>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D9E1F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right/>
      <top/>
      <bottom style="thin">
        <color theme="4" tint="0.59999389629810485"/>
      </bottom>
      <diagonal/>
    </border>
  </borders>
  <cellStyleXfs count="2">
    <xf numFmtId="0" fontId="0" fillId="0" borderId="0"/>
    <xf numFmtId="0" fontId="28" fillId="0" borderId="0" applyNumberFormat="0" applyFill="0" applyBorder="0" applyAlignment="0" applyProtection="0"/>
  </cellStyleXfs>
  <cellXfs count="260">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xf>
    <xf numFmtId="0" fontId="7" fillId="0" borderId="0" xfId="0" applyFont="1" applyAlignment="1">
      <alignment horizontal="center" vertical="center"/>
    </xf>
    <xf numFmtId="0" fontId="2"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2" fillId="0" borderId="1" xfId="0" applyFont="1" applyBorder="1" applyAlignment="1">
      <alignment vertical="center"/>
    </xf>
    <xf numFmtId="0" fontId="10" fillId="5" borderId="10" xfId="0" applyFont="1" applyFill="1" applyBorder="1" applyAlignment="1">
      <alignment horizontal="center" vertical="center" wrapText="1"/>
    </xf>
    <xf numFmtId="0" fontId="9" fillId="0" borderId="10" xfId="0" applyFont="1" applyBorder="1" applyAlignment="1">
      <alignment vertical="top" wrapText="1"/>
    </xf>
    <xf numFmtId="9" fontId="2" fillId="0" borderId="10" xfId="0" applyNumberFormat="1" applyFont="1" applyBorder="1" applyAlignment="1">
      <alignment horizontal="center" vertical="center"/>
    </xf>
    <xf numFmtId="0" fontId="2" fillId="0" borderId="10" xfId="0" applyFont="1" applyBorder="1" applyAlignment="1">
      <alignment vertical="top" wrapText="1"/>
    </xf>
    <xf numFmtId="0" fontId="2" fillId="7" borderId="10" xfId="0" applyFont="1" applyFill="1" applyBorder="1" applyAlignment="1">
      <alignment vertical="top" wrapText="1"/>
    </xf>
    <xf numFmtId="0" fontId="2" fillId="8" borderId="10" xfId="0" applyFont="1" applyFill="1" applyBorder="1" applyAlignment="1">
      <alignment vertical="top" wrapText="1"/>
    </xf>
    <xf numFmtId="0" fontId="2" fillId="9" borderId="10" xfId="0" applyFont="1" applyFill="1" applyBorder="1" applyAlignment="1">
      <alignment vertical="top" wrapText="1"/>
    </xf>
    <xf numFmtId="0" fontId="2" fillId="11" borderId="10" xfId="0" applyFont="1" applyFill="1" applyBorder="1" applyAlignment="1">
      <alignment vertical="top" wrapText="1"/>
    </xf>
    <xf numFmtId="0" fontId="2" fillId="12" borderId="10" xfId="0" applyFont="1" applyFill="1" applyBorder="1" applyAlignment="1">
      <alignment vertical="top" wrapText="1"/>
    </xf>
    <xf numFmtId="0" fontId="12" fillId="0" borderId="17" xfId="0" applyFont="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14" fillId="0" borderId="1" xfId="0" applyFont="1" applyBorder="1"/>
    <xf numFmtId="0" fontId="14" fillId="0" borderId="1" xfId="0" applyFont="1" applyBorder="1" applyAlignment="1">
      <alignment wrapText="1"/>
    </xf>
    <xf numFmtId="0" fontId="2" fillId="0" borderId="5"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5" fillId="0" borderId="1" xfId="0" applyFont="1" applyBorder="1" applyAlignment="1">
      <alignment vertical="top" wrapText="1"/>
    </xf>
    <xf numFmtId="0" fontId="14" fillId="0" borderId="1" xfId="0" applyFont="1" applyBorder="1" applyAlignment="1">
      <alignment vertical="center"/>
    </xf>
    <xf numFmtId="0" fontId="14" fillId="0" borderId="1" xfId="0" applyFont="1" applyBorder="1" applyAlignment="1">
      <alignment vertical="center" wrapText="1"/>
    </xf>
    <xf numFmtId="0" fontId="8" fillId="0" borderId="0" xfId="0" applyFont="1"/>
    <xf numFmtId="0" fontId="3" fillId="37" borderId="17" xfId="0" applyFont="1" applyFill="1" applyBorder="1" applyAlignment="1">
      <alignment horizontal="center" vertical="center"/>
    </xf>
    <xf numFmtId="0" fontId="17" fillId="0" borderId="1" xfId="0" applyFont="1" applyBorder="1" applyAlignment="1">
      <alignment vertical="center" wrapText="1"/>
    </xf>
    <xf numFmtId="0" fontId="2" fillId="0" borderId="0" xfId="0" applyFont="1" applyAlignment="1">
      <alignment horizontal="left"/>
    </xf>
    <xf numFmtId="0" fontId="2" fillId="0" borderId="0" xfId="0" applyFont="1" applyAlignment="1">
      <alignment wrapText="1"/>
    </xf>
    <xf numFmtId="0" fontId="10" fillId="3" borderId="24" xfId="0" applyFont="1" applyFill="1" applyBorder="1" applyAlignment="1">
      <alignment horizontal="center"/>
    </xf>
    <xf numFmtId="0" fontId="10" fillId="3" borderId="24" xfId="0" applyFont="1" applyFill="1" applyBorder="1" applyAlignment="1">
      <alignment horizontal="center" wrapText="1"/>
    </xf>
    <xf numFmtId="0" fontId="15" fillId="0" borderId="24" xfId="0" applyFont="1" applyBorder="1" applyAlignment="1">
      <alignment vertical="top"/>
    </xf>
    <xf numFmtId="0" fontId="15" fillId="0" borderId="24" xfId="0" applyFont="1" applyBorder="1" applyAlignment="1">
      <alignment vertical="top" wrapText="1"/>
    </xf>
    <xf numFmtId="0" fontId="8" fillId="0" borderId="0" xfId="0" applyFont="1" applyAlignment="1">
      <alignment vertical="center" wrapText="1"/>
    </xf>
    <xf numFmtId="0" fontId="3" fillId="37" borderId="28" xfId="0" applyFont="1" applyFill="1" applyBorder="1"/>
    <xf numFmtId="0" fontId="8" fillId="40" borderId="28" xfId="0" applyFont="1" applyFill="1" applyBorder="1"/>
    <xf numFmtId="0" fontId="8" fillId="40" borderId="28" xfId="0" applyFont="1" applyFill="1" applyBorder="1" applyAlignment="1">
      <alignment horizontal="center"/>
    </xf>
    <xf numFmtId="0" fontId="8" fillId="0" borderId="29" xfId="0" applyFont="1" applyBorder="1"/>
    <xf numFmtId="0" fontId="8" fillId="0" borderId="29" xfId="0" applyFont="1" applyBorder="1" applyAlignment="1">
      <alignment horizontal="center"/>
    </xf>
    <xf numFmtId="0" fontId="14" fillId="0" borderId="0" xfId="0" applyFont="1" applyAlignment="1">
      <alignment horizontal="center" vertical="center"/>
    </xf>
    <xf numFmtId="164" fontId="8" fillId="40" borderId="28" xfId="0" applyNumberFormat="1" applyFont="1" applyFill="1" applyBorder="1"/>
    <xf numFmtId="9" fontId="8" fillId="0" borderId="0" xfId="0" applyNumberFormat="1" applyFont="1"/>
    <xf numFmtId="165" fontId="8" fillId="0" borderId="29" xfId="0" applyNumberFormat="1" applyFont="1" applyBorder="1" applyAlignment="1">
      <alignment horizontal="center" vertical="top" wrapText="1"/>
    </xf>
    <xf numFmtId="0" fontId="8" fillId="0" borderId="29" xfId="0" applyFont="1" applyBorder="1" applyAlignment="1">
      <alignment vertical="top" wrapText="1"/>
    </xf>
    <xf numFmtId="0" fontId="23" fillId="0" borderId="29" xfId="0" applyFont="1" applyBorder="1" applyAlignment="1">
      <alignment vertical="top" wrapText="1"/>
    </xf>
    <xf numFmtId="0" fontId="2"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vertical="center"/>
    </xf>
    <xf numFmtId="0" fontId="24" fillId="0" borderId="0" xfId="0" applyFont="1"/>
    <xf numFmtId="0" fontId="10" fillId="3" borderId="13" xfId="0" applyFont="1" applyFill="1" applyBorder="1" applyAlignment="1">
      <alignment horizontal="center" vertical="center"/>
    </xf>
    <xf numFmtId="0" fontId="12" fillId="29" borderId="13" xfId="0" applyFont="1" applyFill="1" applyBorder="1" applyAlignment="1">
      <alignment horizontal="center" vertical="center" wrapText="1"/>
    </xf>
    <xf numFmtId="0" fontId="12" fillId="48" borderId="13" xfId="0" applyFont="1" applyFill="1" applyBorder="1" applyAlignment="1">
      <alignment horizontal="center" vertical="center" wrapText="1"/>
    </xf>
    <xf numFmtId="0" fontId="12" fillId="9" borderId="13" xfId="0" applyFont="1" applyFill="1" applyBorder="1" applyAlignment="1">
      <alignment horizontal="center" vertical="center" wrapText="1"/>
    </xf>
    <xf numFmtId="0" fontId="12" fillId="9" borderId="20" xfId="0" applyFont="1" applyFill="1" applyBorder="1" applyAlignment="1">
      <alignment horizontal="center" vertical="center"/>
    </xf>
    <xf numFmtId="0" fontId="4" fillId="0" borderId="40" xfId="0" applyFont="1" applyBorder="1"/>
    <xf numFmtId="0" fontId="20" fillId="0" borderId="0" xfId="0" applyFont="1" applyAlignment="1">
      <alignment horizontal="center" vertical="center" wrapText="1"/>
    </xf>
    <xf numFmtId="0" fontId="2" fillId="0" borderId="17" xfId="0" applyFont="1" applyBorder="1" applyAlignment="1">
      <alignment horizontal="center" vertical="center"/>
    </xf>
    <xf numFmtId="9" fontId="2" fillId="0" borderId="17" xfId="0" applyNumberFormat="1" applyFont="1" applyBorder="1" applyAlignment="1">
      <alignment horizontal="center"/>
    </xf>
    <xf numFmtId="0" fontId="2" fillId="6" borderId="17" xfId="0" applyFont="1" applyFill="1" applyBorder="1" applyAlignment="1">
      <alignment horizontal="center" vertical="center"/>
    </xf>
    <xf numFmtId="0" fontId="2" fillId="6" borderId="17" xfId="0" applyFont="1" applyFill="1" applyBorder="1" applyAlignment="1">
      <alignment horizontal="center"/>
    </xf>
    <xf numFmtId="0" fontId="2" fillId="0" borderId="17" xfId="0" applyFont="1" applyBorder="1" applyAlignment="1">
      <alignment horizontal="center"/>
    </xf>
    <xf numFmtId="0" fontId="12" fillId="32" borderId="17" xfId="0" applyFont="1" applyFill="1" applyBorder="1" applyAlignment="1">
      <alignment horizontal="center" vertical="center" wrapText="1"/>
    </xf>
    <xf numFmtId="0" fontId="12" fillId="32" borderId="43" xfId="0" applyFont="1" applyFill="1" applyBorder="1" applyAlignment="1">
      <alignment horizontal="center" vertical="center" wrapText="1"/>
    </xf>
    <xf numFmtId="0" fontId="12" fillId="32" borderId="1" xfId="0" applyFont="1" applyFill="1" applyBorder="1" applyAlignment="1">
      <alignment horizontal="center" vertical="center" wrapText="1"/>
    </xf>
    <xf numFmtId="0" fontId="12" fillId="0" borderId="44" xfId="0" applyFont="1" applyBorder="1" applyAlignment="1">
      <alignment horizontal="center" vertical="center" wrapText="1"/>
    </xf>
    <xf numFmtId="0" fontId="12" fillId="0" borderId="1" xfId="0" applyFont="1" applyBorder="1" applyAlignment="1">
      <alignment vertical="center" wrapText="1"/>
    </xf>
    <xf numFmtId="0" fontId="10" fillId="5" borderId="45" xfId="0" applyFont="1" applyFill="1" applyBorder="1" applyAlignment="1">
      <alignment horizontal="center" vertical="center" wrapText="1"/>
    </xf>
    <xf numFmtId="0" fontId="2" fillId="0" borderId="0" xfId="0" applyFont="1" applyAlignment="1">
      <alignment horizontal="center" vertical="top"/>
    </xf>
    <xf numFmtId="165" fontId="2" fillId="0" borderId="0" xfId="0" applyNumberFormat="1" applyFont="1" applyAlignment="1">
      <alignment horizontal="center" vertical="top"/>
    </xf>
    <xf numFmtId="0" fontId="2" fillId="0" borderId="0" xfId="0" applyFont="1" applyAlignment="1">
      <alignment vertical="top" wrapText="1"/>
    </xf>
    <xf numFmtId="0" fontId="26" fillId="0" borderId="0" xfId="0" applyFont="1"/>
    <xf numFmtId="0" fontId="32" fillId="52" borderId="0" xfId="0" applyFont="1" applyFill="1" applyAlignment="1">
      <alignment horizontal="center" vertical="center"/>
    </xf>
    <xf numFmtId="0" fontId="32" fillId="53" borderId="0" xfId="0" applyFont="1" applyFill="1" applyAlignment="1">
      <alignment horizontal="center" vertical="center"/>
    </xf>
    <xf numFmtId="0" fontId="33" fillId="57" borderId="40" xfId="0" applyFont="1" applyFill="1" applyBorder="1" applyAlignment="1">
      <alignment horizontal="center" vertical="center"/>
    </xf>
    <xf numFmtId="0" fontId="34" fillId="0" borderId="0" xfId="0" applyFont="1" applyAlignment="1">
      <alignment horizontal="center" vertical="center"/>
    </xf>
    <xf numFmtId="0" fontId="34" fillId="58" borderId="0" xfId="0" applyFont="1" applyFill="1" applyAlignment="1">
      <alignment horizontal="center" vertical="center"/>
    </xf>
    <xf numFmtId="0" fontId="34" fillId="59" borderId="0" xfId="0" applyFont="1" applyFill="1" applyAlignment="1">
      <alignment horizontal="center" vertical="center"/>
    </xf>
    <xf numFmtId="0" fontId="32" fillId="60" borderId="0" xfId="0" applyFont="1" applyFill="1" applyAlignment="1">
      <alignment horizontal="center" vertical="center"/>
    </xf>
    <xf numFmtId="0" fontId="10" fillId="63" borderId="33" xfId="0" applyFont="1" applyFill="1" applyBorder="1" applyAlignment="1">
      <alignment horizontal="center" vertical="center" wrapText="1"/>
    </xf>
    <xf numFmtId="0" fontId="35" fillId="64" borderId="33" xfId="0" applyFont="1" applyFill="1" applyBorder="1" applyAlignment="1">
      <alignment horizontal="center" vertical="center" wrapText="1"/>
    </xf>
    <xf numFmtId="0" fontId="32" fillId="65" borderId="0" xfId="0" applyFont="1" applyFill="1" applyAlignment="1">
      <alignment horizontal="center" vertical="center"/>
    </xf>
    <xf numFmtId="0" fontId="0" fillId="0" borderId="46" xfId="0" applyBorder="1"/>
    <xf numFmtId="0" fontId="8" fillId="0" borderId="40" xfId="0" applyFont="1" applyBorder="1" applyAlignment="1">
      <alignment horizontal="center" vertical="center" wrapText="1"/>
    </xf>
    <xf numFmtId="0" fontId="2" fillId="0" borderId="40" xfId="0" applyFont="1" applyBorder="1" applyAlignment="1">
      <alignment horizontal="center" vertical="center"/>
    </xf>
    <xf numFmtId="0" fontId="8" fillId="4" borderId="46" xfId="0" applyFont="1" applyFill="1" applyBorder="1" applyAlignment="1">
      <alignment horizontal="center" vertical="center"/>
    </xf>
    <xf numFmtId="0" fontId="8" fillId="4" borderId="46" xfId="0" applyFont="1" applyFill="1" applyBorder="1" applyAlignment="1">
      <alignment vertical="center"/>
    </xf>
    <xf numFmtId="0" fontId="3" fillId="14" borderId="46" xfId="0" applyFont="1" applyFill="1" applyBorder="1" applyAlignment="1">
      <alignment horizontal="center" vertical="center"/>
    </xf>
    <xf numFmtId="0" fontId="3" fillId="14" borderId="46" xfId="0" applyFont="1" applyFill="1" applyBorder="1" applyAlignment="1">
      <alignment horizontal="center" vertical="center" wrapText="1"/>
    </xf>
    <xf numFmtId="0" fontId="3" fillId="20" borderId="46" xfId="0" applyFont="1" applyFill="1" applyBorder="1" applyAlignment="1">
      <alignment horizontal="center" vertical="center" wrapText="1"/>
    </xf>
    <xf numFmtId="0" fontId="3" fillId="21" borderId="46" xfId="0" applyFont="1" applyFill="1" applyBorder="1" applyAlignment="1">
      <alignment horizontal="center" vertical="center" wrapText="1"/>
    </xf>
    <xf numFmtId="0" fontId="36" fillId="14" borderId="46" xfId="0" applyFont="1" applyFill="1" applyBorder="1" applyAlignment="1">
      <alignment horizontal="center" vertical="center" wrapText="1"/>
    </xf>
    <xf numFmtId="0" fontId="3" fillId="22" borderId="46" xfId="0" applyFont="1" applyFill="1" applyBorder="1" applyAlignment="1">
      <alignment horizontal="center" vertical="center" wrapText="1"/>
    </xf>
    <xf numFmtId="0" fontId="3" fillId="15" borderId="46" xfId="0" applyFont="1" applyFill="1" applyBorder="1" applyAlignment="1">
      <alignment horizontal="center" vertical="center" wrapText="1"/>
    </xf>
    <xf numFmtId="0" fontId="3" fillId="16" borderId="46" xfId="0" applyFont="1" applyFill="1" applyBorder="1" applyAlignment="1">
      <alignment horizontal="center" vertical="center" wrapText="1"/>
    </xf>
    <xf numFmtId="0" fontId="3" fillId="17" borderId="46" xfId="0" applyFont="1" applyFill="1" applyBorder="1" applyAlignment="1">
      <alignment horizontal="center" vertical="center" wrapText="1"/>
    </xf>
    <xf numFmtId="0" fontId="3" fillId="18" borderId="46" xfId="0" applyFont="1" applyFill="1" applyBorder="1" applyAlignment="1">
      <alignment horizontal="center" vertical="center" wrapText="1"/>
    </xf>
    <xf numFmtId="0" fontId="8" fillId="0" borderId="46" xfId="0" applyFont="1" applyBorder="1" applyAlignment="1">
      <alignment horizontal="center" vertical="center" wrapText="1"/>
    </xf>
    <xf numFmtId="0" fontId="8" fillId="23" borderId="46" xfId="0" applyFont="1" applyFill="1" applyBorder="1" applyAlignment="1">
      <alignment vertical="center" wrapText="1"/>
    </xf>
    <xf numFmtId="0" fontId="8" fillId="0" borderId="46" xfId="0" applyFont="1" applyBorder="1" applyAlignment="1">
      <alignment vertical="center" wrapText="1"/>
    </xf>
    <xf numFmtId="0" fontId="8" fillId="0" borderId="46" xfId="0" applyFont="1" applyBorder="1" applyAlignment="1">
      <alignment horizontal="center" vertical="center"/>
    </xf>
    <xf numFmtId="2" fontId="8" fillId="0" borderId="46" xfId="0" applyNumberFormat="1" applyFont="1" applyBorder="1" applyAlignment="1">
      <alignment horizontal="center" vertical="center" wrapText="1"/>
    </xf>
    <xf numFmtId="0" fontId="11" fillId="23" borderId="46" xfId="0" applyFont="1" applyFill="1" applyBorder="1" applyAlignment="1">
      <alignment horizontal="center" vertical="center"/>
    </xf>
    <xf numFmtId="0" fontId="11" fillId="24" borderId="46" xfId="0" applyFont="1" applyFill="1" applyBorder="1" applyAlignment="1">
      <alignment horizontal="center" vertical="center"/>
    </xf>
    <xf numFmtId="0" fontId="8" fillId="0" borderId="46" xfId="0" applyFont="1" applyBorder="1" applyAlignment="1">
      <alignment vertical="top" wrapText="1"/>
    </xf>
    <xf numFmtId="0" fontId="8" fillId="24" borderId="46" xfId="0" applyFont="1" applyFill="1" applyBorder="1" applyAlignment="1">
      <alignment horizontal="center" vertical="center" wrapText="1"/>
    </xf>
    <xf numFmtId="0" fontId="8" fillId="25" borderId="46" xfId="0" applyFont="1" applyFill="1" applyBorder="1" applyAlignment="1">
      <alignment horizontal="center" vertical="center" wrapText="1"/>
    </xf>
    <xf numFmtId="0" fontId="3" fillId="26" borderId="46" xfId="0" applyFont="1" applyFill="1" applyBorder="1" applyAlignment="1">
      <alignment horizontal="center" vertical="center" wrapText="1"/>
    </xf>
    <xf numFmtId="0" fontId="3" fillId="27" borderId="46" xfId="0" applyFont="1" applyFill="1" applyBorder="1" applyAlignment="1">
      <alignment horizontal="center" vertical="center" wrapText="1"/>
    </xf>
    <xf numFmtId="0" fontId="3" fillId="28" borderId="46" xfId="0" applyFont="1" applyFill="1" applyBorder="1" applyAlignment="1">
      <alignment horizontal="center" vertical="center" wrapText="1"/>
    </xf>
    <xf numFmtId="0" fontId="3" fillId="29" borderId="46" xfId="0" applyFont="1" applyFill="1" applyBorder="1" applyAlignment="1">
      <alignment horizontal="center" vertical="center" wrapText="1"/>
    </xf>
    <xf numFmtId="0" fontId="13" fillId="0" borderId="46" xfId="0" applyFont="1" applyBorder="1" applyAlignment="1">
      <alignment horizontal="center" vertical="center"/>
    </xf>
    <xf numFmtId="0" fontId="11" fillId="30" borderId="46" xfId="0" applyFont="1" applyFill="1" applyBorder="1" applyAlignment="1">
      <alignment horizontal="center" vertical="center"/>
    </xf>
    <xf numFmtId="0" fontId="8" fillId="31" borderId="46" xfId="0" applyFont="1" applyFill="1" applyBorder="1" applyAlignment="1">
      <alignment horizontal="center" vertical="center" wrapText="1"/>
    </xf>
    <xf numFmtId="0" fontId="8" fillId="32" borderId="46" xfId="0" applyFont="1" applyFill="1" applyBorder="1" applyAlignment="1">
      <alignment horizontal="center" vertical="center" wrapText="1"/>
    </xf>
    <xf numFmtId="0" fontId="8" fillId="33" borderId="46" xfId="0" applyFont="1" applyFill="1" applyBorder="1" applyAlignment="1">
      <alignment horizontal="center" vertical="center" wrapText="1"/>
    </xf>
    <xf numFmtId="0" fontId="3" fillId="34" borderId="46" xfId="0" applyFont="1" applyFill="1" applyBorder="1" applyAlignment="1">
      <alignment horizontal="center" vertical="center" wrapText="1"/>
    </xf>
    <xf numFmtId="0" fontId="8" fillId="36" borderId="46" xfId="0" applyFont="1" applyFill="1" applyBorder="1" applyAlignment="1">
      <alignment horizontal="center" vertical="center" wrapText="1"/>
    </xf>
    <xf numFmtId="0" fontId="11" fillId="31" borderId="46" xfId="0" applyFont="1" applyFill="1" applyBorder="1" applyAlignment="1">
      <alignment horizontal="center" vertical="center" wrapText="1"/>
    </xf>
    <xf numFmtId="0" fontId="8" fillId="6" borderId="46" xfId="0" applyFont="1" applyFill="1" applyBorder="1" applyAlignment="1">
      <alignment horizontal="center" vertical="center" wrapText="1"/>
    </xf>
    <xf numFmtId="0" fontId="8" fillId="39" borderId="46" xfId="0" applyFont="1" applyFill="1" applyBorder="1" applyAlignment="1">
      <alignment horizontal="center" vertical="center" wrapText="1"/>
    </xf>
    <xf numFmtId="0" fontId="11" fillId="41" borderId="46" xfId="0" applyFont="1" applyFill="1" applyBorder="1" applyAlignment="1">
      <alignment horizontal="center" vertical="center"/>
    </xf>
    <xf numFmtId="0" fontId="8" fillId="42" borderId="46" xfId="0" applyFont="1" applyFill="1" applyBorder="1" applyAlignment="1">
      <alignment horizontal="center" vertical="center" wrapText="1"/>
    </xf>
    <xf numFmtId="0" fontId="19" fillId="24" borderId="46" xfId="0" applyFont="1" applyFill="1" applyBorder="1" applyAlignment="1">
      <alignment horizontal="center" vertical="center"/>
    </xf>
    <xf numFmtId="0" fontId="14" fillId="0" borderId="46" xfId="0" applyFont="1" applyBorder="1" applyAlignment="1">
      <alignment horizontal="center" vertical="center"/>
    </xf>
    <xf numFmtId="0" fontId="11" fillId="23" borderId="46" xfId="0" applyFont="1" applyFill="1" applyBorder="1" applyAlignment="1">
      <alignment horizontal="center" vertical="center" wrapText="1"/>
    </xf>
    <xf numFmtId="0" fontId="20" fillId="0" borderId="46" xfId="0" applyFont="1" applyBorder="1" applyAlignment="1">
      <alignment vertical="center" wrapText="1"/>
    </xf>
    <xf numFmtId="0" fontId="21" fillId="0" borderId="46" xfId="0" applyFont="1" applyBorder="1" applyAlignment="1">
      <alignment vertical="center" wrapText="1"/>
    </xf>
    <xf numFmtId="0" fontId="21" fillId="31" borderId="46" xfId="0" applyFont="1" applyFill="1" applyBorder="1" applyAlignment="1">
      <alignment horizontal="center" vertical="center" wrapText="1"/>
    </xf>
    <xf numFmtId="0" fontId="21" fillId="0" borderId="46" xfId="0" applyFont="1" applyBorder="1" applyAlignment="1">
      <alignment horizontal="center" vertical="center" wrapText="1"/>
    </xf>
    <xf numFmtId="0" fontId="3" fillId="26" borderId="46" xfId="0" applyFont="1" applyFill="1" applyBorder="1" applyAlignment="1">
      <alignment horizontal="center" vertical="center"/>
    </xf>
    <xf numFmtId="0" fontId="3" fillId="27" borderId="46" xfId="0" applyFont="1" applyFill="1" applyBorder="1" applyAlignment="1">
      <alignment horizontal="center" vertical="center"/>
    </xf>
    <xf numFmtId="0" fontId="3" fillId="28" borderId="46" xfId="0" applyFont="1" applyFill="1" applyBorder="1" applyAlignment="1">
      <alignment horizontal="center" vertical="center"/>
    </xf>
    <xf numFmtId="0" fontId="3" fillId="29" borderId="46" xfId="0" applyFont="1" applyFill="1" applyBorder="1" applyAlignment="1">
      <alignment horizontal="center" vertical="center"/>
    </xf>
    <xf numFmtId="0" fontId="11" fillId="43" borderId="46" xfId="0" applyFont="1" applyFill="1" applyBorder="1" applyAlignment="1">
      <alignment horizontal="center" vertical="center"/>
    </xf>
    <xf numFmtId="0" fontId="19" fillId="33" borderId="46" xfId="0" applyFont="1" applyFill="1" applyBorder="1" applyAlignment="1">
      <alignment horizontal="center" vertical="center" wrapText="1"/>
    </xf>
    <xf numFmtId="0" fontId="8" fillId="0" borderId="46" xfId="0" applyFont="1" applyBorder="1" applyAlignment="1">
      <alignment vertical="center"/>
    </xf>
    <xf numFmtId="0" fontId="8" fillId="0" borderId="46" xfId="0" applyFont="1" applyBorder="1" applyAlignment="1">
      <alignment horizontal="left" vertical="center"/>
    </xf>
    <xf numFmtId="0" fontId="11" fillId="44" borderId="46" xfId="0" applyFont="1" applyFill="1" applyBorder="1" applyAlignment="1">
      <alignment horizontal="center" vertical="center" wrapText="1"/>
    </xf>
    <xf numFmtId="0" fontId="8" fillId="41" borderId="46" xfId="0" applyFont="1" applyFill="1" applyBorder="1" applyAlignment="1">
      <alignment horizontal="center" vertical="center" wrapText="1"/>
    </xf>
    <xf numFmtId="0" fontId="8" fillId="45" borderId="46" xfId="0" applyFont="1" applyFill="1" applyBorder="1" applyAlignment="1">
      <alignment horizontal="center" vertical="center" wrapText="1"/>
    </xf>
    <xf numFmtId="0" fontId="11" fillId="43" borderId="46" xfId="0" applyFont="1" applyFill="1" applyBorder="1" applyAlignment="1">
      <alignment horizontal="center" vertical="center" wrapText="1"/>
    </xf>
    <xf numFmtId="0" fontId="11" fillId="24" borderId="46" xfId="0" applyFont="1" applyFill="1" applyBorder="1" applyAlignment="1">
      <alignment horizontal="center" vertical="center" wrapText="1"/>
    </xf>
    <xf numFmtId="0" fontId="21" fillId="0" borderId="46" xfId="0" applyFont="1" applyBorder="1" applyAlignment="1">
      <alignment vertical="top" wrapText="1"/>
    </xf>
    <xf numFmtId="0" fontId="21" fillId="25" borderId="46" xfId="0" applyFont="1" applyFill="1" applyBorder="1" applyAlignment="1">
      <alignment horizontal="center" vertical="center" wrapText="1"/>
    </xf>
    <xf numFmtId="0" fontId="13" fillId="0" borderId="46" xfId="0" applyFont="1" applyBorder="1" applyAlignment="1">
      <alignment horizontal="center" vertical="center" wrapText="1"/>
    </xf>
    <xf numFmtId="0" fontId="14" fillId="0" borderId="46" xfId="0" applyFont="1" applyBorder="1" applyAlignment="1">
      <alignment vertical="center" wrapText="1"/>
    </xf>
    <xf numFmtId="0" fontId="11" fillId="46" borderId="46" xfId="0" applyFont="1" applyFill="1" applyBorder="1" applyAlignment="1">
      <alignment horizontal="center" vertical="center"/>
    </xf>
    <xf numFmtId="0" fontId="11" fillId="32" borderId="46" xfId="0" applyFont="1" applyFill="1" applyBorder="1" applyAlignment="1">
      <alignment horizontal="center" vertical="center" wrapText="1"/>
    </xf>
    <xf numFmtId="0" fontId="21" fillId="0" borderId="46" xfId="0" applyFont="1" applyBorder="1"/>
    <xf numFmtId="0" fontId="29" fillId="0" borderId="0" xfId="0" applyFont="1" applyAlignment="1">
      <alignment horizontal="center" vertical="center"/>
    </xf>
    <xf numFmtId="0" fontId="29" fillId="0" borderId="46" xfId="0" applyFont="1" applyBorder="1" applyAlignment="1">
      <alignment horizontal="center" vertical="center"/>
    </xf>
    <xf numFmtId="0" fontId="11" fillId="6" borderId="11" xfId="0" applyFont="1" applyFill="1" applyBorder="1" applyAlignment="1">
      <alignment vertical="center"/>
    </xf>
    <xf numFmtId="0" fontId="11" fillId="6" borderId="40" xfId="0" applyFont="1" applyFill="1" applyBorder="1" applyAlignment="1">
      <alignment vertical="center"/>
    </xf>
    <xf numFmtId="0" fontId="3" fillId="13" borderId="47" xfId="0" applyFont="1" applyFill="1" applyBorder="1" applyAlignment="1">
      <alignment vertical="center"/>
    </xf>
    <xf numFmtId="0" fontId="31" fillId="0" borderId="46" xfId="0" applyFont="1" applyBorder="1" applyAlignment="1">
      <alignment vertical="center" wrapText="1"/>
    </xf>
    <xf numFmtId="165" fontId="0" fillId="0" borderId="46" xfId="0" applyNumberFormat="1" applyBorder="1"/>
    <xf numFmtId="0" fontId="0" fillId="0" borderId="46" xfId="0" applyBorder="1" applyAlignment="1">
      <alignment vertical="center" wrapText="1"/>
    </xf>
    <xf numFmtId="0" fontId="0" fillId="0" borderId="40" xfId="0" applyBorder="1"/>
    <xf numFmtId="0" fontId="35" fillId="69" borderId="45" xfId="0" applyFont="1" applyFill="1" applyBorder="1" applyAlignment="1">
      <alignment horizontal="center" vertical="center" wrapText="1"/>
    </xf>
    <xf numFmtId="0" fontId="0" fillId="0" borderId="45" xfId="0" applyBorder="1" applyAlignment="1">
      <alignment vertical="top" wrapText="1"/>
    </xf>
    <xf numFmtId="0" fontId="1" fillId="0" borderId="45" xfId="0" quotePrefix="1" applyFont="1" applyBorder="1" applyAlignment="1">
      <alignment vertical="top" wrapText="1"/>
    </xf>
    <xf numFmtId="0" fontId="1" fillId="0" borderId="45" xfId="0" applyFont="1" applyBorder="1" applyAlignment="1">
      <alignment vertical="top" wrapText="1"/>
    </xf>
    <xf numFmtId="0" fontId="28" fillId="0" borderId="45" xfId="1" applyBorder="1" applyAlignment="1">
      <alignment vertical="top" wrapText="1"/>
    </xf>
    <xf numFmtId="0" fontId="41" fillId="0" borderId="40" xfId="0" applyFont="1" applyBorder="1" applyAlignment="1">
      <alignment horizontal="center" vertical="center"/>
    </xf>
    <xf numFmtId="0" fontId="22" fillId="40" borderId="30" xfId="0" applyFont="1" applyFill="1" applyBorder="1" applyAlignment="1">
      <alignment vertical="top" wrapText="1"/>
    </xf>
    <xf numFmtId="0" fontId="4" fillId="0" borderId="31" xfId="0" applyFont="1" applyBorder="1"/>
    <xf numFmtId="0" fontId="4" fillId="0" borderId="32" xfId="0" applyFont="1" applyBorder="1"/>
    <xf numFmtId="0" fontId="22" fillId="0" borderId="29" xfId="0" applyFont="1" applyBorder="1" applyAlignment="1">
      <alignment vertical="top" wrapText="1"/>
    </xf>
    <xf numFmtId="0" fontId="4" fillId="0" borderId="29" xfId="0" applyFont="1" applyBorder="1"/>
    <xf numFmtId="0" fontId="3" fillId="35" borderId="2" xfId="0" applyFont="1" applyFill="1" applyBorder="1" applyAlignment="1">
      <alignment vertical="center"/>
    </xf>
    <xf numFmtId="0" fontId="4" fillId="0" borderId="3" xfId="0" applyFont="1" applyBorder="1"/>
    <xf numFmtId="0" fontId="4" fillId="0" borderId="4" xfId="0" applyFont="1" applyBorder="1"/>
    <xf numFmtId="0" fontId="3" fillId="37" borderId="2" xfId="0" applyFont="1" applyFill="1" applyBorder="1" applyAlignment="1">
      <alignment horizontal="center"/>
    </xf>
    <xf numFmtId="0" fontId="18" fillId="38" borderId="21" xfId="0" applyFont="1" applyFill="1" applyBorder="1" applyAlignment="1">
      <alignment horizontal="center" vertical="center"/>
    </xf>
    <xf numFmtId="0" fontId="4" fillId="0" borderId="23" xfId="0" applyFont="1" applyBorder="1"/>
    <xf numFmtId="0" fontId="4" fillId="0" borderId="25" xfId="0" applyFont="1" applyBorder="1"/>
    <xf numFmtId="0" fontId="4" fillId="0" borderId="27" xfId="0" applyFont="1" applyBorder="1"/>
    <xf numFmtId="0" fontId="3" fillId="35" borderId="2" xfId="0" applyFont="1" applyFill="1" applyBorder="1" applyAlignment="1">
      <alignment horizontal="left" vertical="center"/>
    </xf>
    <xf numFmtId="0" fontId="16" fillId="0" borderId="0" xfId="0" applyFont="1"/>
    <xf numFmtId="0" fontId="0" fillId="0" borderId="0" xfId="0"/>
    <xf numFmtId="0" fontId="3" fillId="37" borderId="14" xfId="0" applyFont="1" applyFill="1" applyBorder="1" applyAlignment="1">
      <alignment horizontal="center" vertical="center"/>
    </xf>
    <xf numFmtId="0" fontId="4" fillId="0" borderId="15" xfId="0" applyFont="1" applyBorder="1"/>
    <xf numFmtId="0" fontId="4" fillId="0" borderId="16" xfId="0" applyFont="1" applyBorder="1"/>
    <xf numFmtId="0" fontId="4" fillId="0" borderId="22" xfId="0" applyFont="1" applyBorder="1"/>
    <xf numFmtId="0" fontId="4" fillId="0" borderId="26" xfId="0" applyFont="1" applyBorder="1"/>
    <xf numFmtId="0" fontId="18" fillId="38" borderId="18" xfId="0" applyFont="1" applyFill="1" applyBorder="1" applyAlignment="1">
      <alignment horizontal="center" vertical="center"/>
    </xf>
    <xf numFmtId="0" fontId="4" fillId="0" borderId="19" xfId="0" applyFont="1" applyBorder="1"/>
    <xf numFmtId="0" fontId="8" fillId="0" borderId="18" xfId="0" applyFont="1" applyBorder="1" applyAlignment="1">
      <alignment horizontal="center" vertical="center"/>
    </xf>
    <xf numFmtId="0" fontId="3" fillId="35" borderId="2" xfId="0" applyFont="1" applyFill="1" applyBorder="1" applyAlignment="1">
      <alignment horizontal="center" vertical="center"/>
    </xf>
    <xf numFmtId="0" fontId="30" fillId="19" borderId="46" xfId="0" applyFont="1" applyFill="1" applyBorder="1" applyAlignment="1">
      <alignment horizontal="center" vertical="center" wrapText="1"/>
    </xf>
    <xf numFmtId="0" fontId="4" fillId="0" borderId="46" xfId="0" applyFont="1" applyBorder="1"/>
    <xf numFmtId="0" fontId="39" fillId="0" borderId="46" xfId="0" applyFont="1" applyBorder="1" applyAlignment="1">
      <alignment horizontal="center" vertical="center"/>
    </xf>
    <xf numFmtId="0" fontId="36" fillId="13" borderId="47" xfId="0" applyFont="1" applyFill="1" applyBorder="1" applyAlignment="1">
      <alignment horizontal="center" vertical="center"/>
    </xf>
    <xf numFmtId="0" fontId="3" fillId="13" borderId="47" xfId="0" applyFont="1" applyFill="1" applyBorder="1" applyAlignment="1">
      <alignment horizontal="center" vertical="center"/>
    </xf>
    <xf numFmtId="0" fontId="38" fillId="6" borderId="40" xfId="0" applyFont="1" applyFill="1" applyBorder="1" applyAlignment="1">
      <alignment horizontal="center" vertical="center"/>
    </xf>
    <xf numFmtId="0" fontId="11" fillId="6" borderId="40" xfId="0" applyFont="1" applyFill="1" applyBorder="1" applyAlignment="1">
      <alignment horizontal="center" vertical="center"/>
    </xf>
    <xf numFmtId="0" fontId="40" fillId="68" borderId="40" xfId="0" applyFont="1" applyFill="1" applyBorder="1" applyAlignment="1">
      <alignment horizontal="center" vertical="center"/>
    </xf>
    <xf numFmtId="0" fontId="40" fillId="68" borderId="47" xfId="0" applyFont="1" applyFill="1" applyBorder="1" applyAlignment="1">
      <alignment horizontal="center" vertical="center"/>
    </xf>
    <xf numFmtId="0" fontId="33" fillId="66" borderId="40" xfId="0" applyFont="1" applyFill="1" applyBorder="1" applyAlignment="1">
      <alignment horizontal="center" vertical="center"/>
    </xf>
    <xf numFmtId="0" fontId="33" fillId="67" borderId="40" xfId="0" applyFont="1" applyFill="1" applyBorder="1" applyAlignment="1">
      <alignment horizontal="center" vertical="center"/>
    </xf>
    <xf numFmtId="0" fontId="2" fillId="47" borderId="2" xfId="0" applyFont="1" applyFill="1" applyBorder="1" applyAlignment="1">
      <alignment wrapText="1"/>
    </xf>
    <xf numFmtId="0" fontId="4" fillId="0" borderId="40" xfId="0" applyFont="1" applyBorder="1"/>
    <xf numFmtId="0" fontId="12" fillId="12" borderId="2" xfId="0" applyFont="1" applyFill="1" applyBorder="1" applyAlignment="1">
      <alignment horizontal="center" vertical="center" wrapText="1"/>
    </xf>
    <xf numFmtId="0" fontId="12" fillId="12" borderId="33" xfId="0" applyFont="1" applyFill="1" applyBorder="1" applyAlignment="1">
      <alignment horizontal="center" vertical="center"/>
    </xf>
    <xf numFmtId="0" fontId="4" fillId="0" borderId="37" xfId="0" applyFont="1" applyBorder="1"/>
    <xf numFmtId="0" fontId="25" fillId="18" borderId="14" xfId="0" applyFont="1" applyFill="1" applyBorder="1" applyAlignment="1">
      <alignment horizontal="center" vertical="center"/>
    </xf>
    <xf numFmtId="0" fontId="12" fillId="34" borderId="2" xfId="0" applyFont="1" applyFill="1" applyBorder="1" applyAlignment="1">
      <alignment horizontal="center" vertical="center" wrapText="1"/>
    </xf>
    <xf numFmtId="0" fontId="10" fillId="61" borderId="33" xfId="0" applyFont="1" applyFill="1" applyBorder="1" applyAlignment="1">
      <alignment horizontal="center" vertical="center" wrapText="1"/>
    </xf>
    <xf numFmtId="0" fontId="4" fillId="62" borderId="37" xfId="0" applyFont="1" applyFill="1" applyBorder="1"/>
    <xf numFmtId="0" fontId="12" fillId="48" borderId="33" xfId="0" applyFont="1" applyFill="1" applyBorder="1" applyAlignment="1">
      <alignment horizontal="center" vertical="center"/>
    </xf>
    <xf numFmtId="0" fontId="12" fillId="9" borderId="34" xfId="0" applyFont="1" applyFill="1" applyBorder="1" applyAlignment="1">
      <alignment horizontal="center" vertical="center"/>
    </xf>
    <xf numFmtId="0" fontId="4" fillId="0" borderId="35" xfId="0" applyFont="1" applyBorder="1"/>
    <xf numFmtId="0" fontId="4" fillId="0" borderId="36" xfId="0" applyFont="1" applyBorder="1"/>
    <xf numFmtId="0" fontId="4" fillId="0" borderId="38" xfId="0" applyFont="1" applyBorder="1"/>
    <xf numFmtId="0" fontId="4" fillId="0" borderId="39" xfId="0" applyFont="1" applyBorder="1"/>
    <xf numFmtId="0" fontId="12" fillId="49" borderId="34" xfId="0" applyFont="1" applyFill="1" applyBorder="1" applyAlignment="1">
      <alignment horizontal="center" vertical="center"/>
    </xf>
    <xf numFmtId="0" fontId="12" fillId="50" borderId="34" xfId="0" applyFont="1" applyFill="1" applyBorder="1" applyAlignment="1">
      <alignment horizontal="center" vertical="center"/>
    </xf>
    <xf numFmtId="0" fontId="12" fillId="51" borderId="33" xfId="0" applyFont="1" applyFill="1" applyBorder="1" applyAlignment="1">
      <alignment horizontal="center" vertical="center"/>
    </xf>
    <xf numFmtId="0" fontId="25" fillId="0" borderId="21" xfId="0" applyFont="1" applyBorder="1" applyAlignment="1">
      <alignment horizontal="center"/>
    </xf>
    <xf numFmtId="0" fontId="4" fillId="0" borderId="41" xfId="0" applyFont="1" applyBorder="1"/>
    <xf numFmtId="0" fontId="4" fillId="0" borderId="42" xfId="0" applyFont="1" applyBorder="1"/>
    <xf numFmtId="0" fontId="33" fillId="54" borderId="40" xfId="0" applyFont="1" applyFill="1" applyBorder="1" applyAlignment="1">
      <alignment horizontal="center" vertical="center"/>
    </xf>
    <xf numFmtId="0" fontId="33" fillId="55" borderId="40" xfId="0" applyFont="1" applyFill="1" applyBorder="1" applyAlignment="1">
      <alignment horizontal="center" vertical="center"/>
    </xf>
    <xf numFmtId="0" fontId="33" fillId="56" borderId="40" xfId="0" applyFont="1" applyFill="1" applyBorder="1" applyAlignment="1">
      <alignment horizontal="center" vertical="center"/>
    </xf>
    <xf numFmtId="0" fontId="10" fillId="3" borderId="2" xfId="0" applyFont="1" applyFill="1" applyBorder="1" applyAlignment="1">
      <alignment horizontal="left" vertical="center"/>
    </xf>
    <xf numFmtId="0" fontId="4" fillId="0" borderId="3" xfId="0" applyFont="1" applyBorder="1" applyAlignment="1">
      <alignment horizontal="left"/>
    </xf>
    <xf numFmtId="0" fontId="4" fillId="0" borderId="40" xfId="0" applyFont="1" applyBorder="1" applyAlignment="1">
      <alignment horizontal="left"/>
    </xf>
    <xf numFmtId="0" fontId="4" fillId="0" borderId="4" xfId="0" applyFont="1" applyBorder="1" applyAlignment="1">
      <alignment horizontal="left"/>
    </xf>
    <xf numFmtId="0" fontId="3" fillId="17" borderId="46" xfId="0" applyFont="1" applyFill="1" applyBorder="1" applyAlignment="1">
      <alignment horizontal="center" vertical="center"/>
    </xf>
    <xf numFmtId="0" fontId="3" fillId="18" borderId="46" xfId="0" applyFont="1" applyFill="1" applyBorder="1" applyAlignment="1">
      <alignment horizontal="center" vertical="center"/>
    </xf>
    <xf numFmtId="0" fontId="13" fillId="19" borderId="46" xfId="0" applyFont="1" applyFill="1" applyBorder="1" applyAlignment="1">
      <alignment horizontal="center" vertical="center"/>
    </xf>
    <xf numFmtId="0" fontId="3" fillId="10" borderId="2" xfId="0" applyFont="1" applyFill="1" applyBorder="1" applyAlignment="1">
      <alignment horizontal="center" vertical="center"/>
    </xf>
    <xf numFmtId="0" fontId="3" fillId="15" borderId="46" xfId="0" applyFont="1" applyFill="1" applyBorder="1" applyAlignment="1">
      <alignment horizontal="center" vertical="center"/>
    </xf>
    <xf numFmtId="0" fontId="3" fillId="16" borderId="46"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14" xfId="0" applyFont="1" applyBorder="1" applyAlignment="1">
      <alignment vertical="center" wrapText="1"/>
    </xf>
    <xf numFmtId="0" fontId="5" fillId="3" borderId="2" xfId="0" applyFont="1" applyFill="1" applyBorder="1" applyAlignment="1">
      <alignment vertical="center"/>
    </xf>
    <xf numFmtId="0" fontId="6" fillId="0" borderId="0" xfId="0" applyFont="1" applyAlignment="1">
      <alignment wrapText="1"/>
    </xf>
    <xf numFmtId="0" fontId="9" fillId="4" borderId="7" xfId="0" applyFont="1" applyFill="1" applyBorder="1" applyAlignment="1">
      <alignment wrapText="1"/>
    </xf>
    <xf numFmtId="0" fontId="4" fillId="0" borderId="8" xfId="0" applyFont="1" applyBorder="1"/>
    <xf numFmtId="0" fontId="4" fillId="0" borderId="9" xfId="0" applyFont="1" applyBorder="1"/>
    <xf numFmtId="0" fontId="10" fillId="3" borderId="14" xfId="0" applyFont="1" applyFill="1" applyBorder="1" applyAlignment="1">
      <alignment vertical="center"/>
    </xf>
    <xf numFmtId="0" fontId="15" fillId="0" borderId="0" xfId="0" applyFont="1" applyAlignment="1">
      <alignment vertical="top"/>
    </xf>
    <xf numFmtId="0" fontId="4" fillId="0" borderId="24" xfId="0" applyFont="1" applyBorder="1"/>
    <xf numFmtId="0" fontId="15" fillId="0" borderId="5" xfId="0" applyFont="1" applyBorder="1" applyAlignment="1">
      <alignment vertical="center"/>
    </xf>
    <xf numFmtId="0" fontId="4" fillId="0" borderId="12" xfId="0" applyFont="1" applyBorder="1"/>
    <xf numFmtId="0" fontId="14" fillId="0" borderId="5" xfId="0" applyFont="1" applyBorder="1" applyAlignment="1">
      <alignment horizontal="left" vertical="center"/>
    </xf>
    <xf numFmtId="0" fontId="4" fillId="0" borderId="6" xfId="0" applyFont="1" applyBorder="1"/>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horizontal="left" vertical="center" wrapText="1"/>
    </xf>
  </cellXfs>
  <cellStyles count="2">
    <cellStyle name="Hyperlink" xfId="1" builtinId="8"/>
    <cellStyle name="Normal" xfId="0" builtinId="0"/>
  </cellStyles>
  <dxfs count="35">
    <dxf>
      <font>
        <b/>
        <color theme="4" tint="-0.499984740745262"/>
      </font>
      <fill>
        <patternFill>
          <bgColor theme="4" tint="0.59996337778862885"/>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b/>
        <i val="0"/>
        <color theme="4" tint="-0.499984740745262"/>
      </font>
      <fill>
        <patternFill>
          <bgColor theme="4" tint="0.59996337778862885"/>
        </patternFill>
      </fill>
    </dxf>
    <dxf>
      <font>
        <b/>
        <color theme="4" tint="-0.499984740745262"/>
      </font>
      <fill>
        <patternFill>
          <bgColor theme="4" tint="0.59996337778862885"/>
        </patternFill>
      </fill>
    </dxf>
    <dxf>
      <font>
        <b/>
      </font>
      <fill>
        <patternFill>
          <bgColor theme="0" tint="-0.14993743705557422"/>
        </patternFill>
      </fill>
    </dxf>
    <dxf>
      <font>
        <color rgb="FF006100"/>
      </font>
      <fill>
        <patternFill>
          <bgColor rgb="FFC6EFCE"/>
        </patternFill>
      </fill>
    </dxf>
    <dxf>
      <font>
        <color rgb="FF9C5700"/>
      </font>
      <fill>
        <patternFill>
          <bgColor rgb="FFFFEB9C"/>
        </patternFill>
      </fill>
    </dxf>
    <dxf>
      <font>
        <b/>
        <i val="0"/>
        <color theme="4" tint="-0.499984740745262"/>
      </font>
      <fill>
        <patternFill>
          <bgColor theme="4" tint="0.59996337778862885"/>
        </patternFill>
      </fill>
    </dxf>
    <dxf>
      <font>
        <b/>
        <i val="0"/>
      </font>
      <fill>
        <patternFill>
          <bgColor theme="0" tint="-0.14996795556505021"/>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font>
      <fill>
        <patternFill patternType="solid">
          <fgColor rgb="FFD8D8D8"/>
          <bgColor rgb="FFD8D8D8"/>
        </patternFill>
      </fill>
    </dxf>
    <dxf>
      <fill>
        <patternFill patternType="solid">
          <fgColor rgb="FFFFFF66"/>
          <bgColor rgb="FFFFFF66"/>
        </patternFill>
      </fill>
    </dxf>
    <dxf>
      <fill>
        <patternFill patternType="solid">
          <fgColor rgb="FFCCC0D9"/>
          <bgColor rgb="FFCCC0D9"/>
        </patternFill>
      </fill>
    </dxf>
    <dxf>
      <fill>
        <patternFill patternType="solid">
          <fgColor rgb="FFFBD4B4"/>
          <bgColor rgb="FFFBD4B4"/>
        </patternFill>
      </fill>
    </dxf>
    <dxf>
      <fill>
        <patternFill patternType="solid">
          <fgColor rgb="FF92D050"/>
          <bgColor rgb="FF92D050"/>
        </patternFill>
      </fill>
    </dxf>
    <dxf>
      <fill>
        <patternFill patternType="solid">
          <fgColor rgb="FFB6DDE8"/>
          <bgColor rgb="FFB6DDE8"/>
        </patternFill>
      </fill>
    </dxf>
    <dxf>
      <fill>
        <patternFill patternType="solid">
          <fgColor rgb="FFD6E3BC"/>
          <bgColor rgb="FFD6E3BC"/>
        </patternFill>
      </fill>
    </dxf>
    <dxf>
      <fill>
        <patternFill patternType="solid">
          <fgColor rgb="FFB8CCE4"/>
          <bgColor rgb="FFB8CCE4"/>
        </patternFill>
      </fill>
    </dxf>
    <dxf>
      <fill>
        <patternFill patternType="solid">
          <fgColor rgb="FFFFFF66"/>
          <bgColor rgb="FFFFFF66"/>
        </patternFill>
      </fill>
    </dxf>
    <dxf>
      <fill>
        <patternFill patternType="solid">
          <fgColor rgb="FFC4BD97"/>
          <bgColor rgb="FFC4BD97"/>
        </patternFill>
      </fill>
    </dxf>
    <dxf>
      <fill>
        <patternFill patternType="solid">
          <fgColor rgb="FFC4BD97"/>
          <bgColor rgb="FFC4BD97"/>
        </patternFill>
      </fill>
    </dxf>
    <dxf>
      <fill>
        <patternFill patternType="solid">
          <fgColor rgb="FFC2D69B"/>
          <bgColor rgb="FFC2D69B"/>
        </patternFill>
      </fill>
    </dxf>
    <dxf>
      <fill>
        <patternFill patternType="solid">
          <fgColor rgb="FFC4BD97"/>
          <bgColor rgb="FFC4BD97"/>
        </patternFill>
      </fill>
    </dxf>
    <dxf>
      <fill>
        <patternFill patternType="solid">
          <fgColor rgb="FFCCC0D9"/>
          <bgColor rgb="FFCCC0D9"/>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F243E"/>
      </font>
      <fill>
        <patternFill patternType="solid">
          <fgColor rgb="FFB8CCE4"/>
          <bgColor rgb="FFB8CCE4"/>
        </patternFill>
      </fill>
    </dxf>
    <dxf>
      <font>
        <color theme="1"/>
      </font>
      <fill>
        <patternFill patternType="solid">
          <fgColor rgb="FFB8CCE4"/>
          <bgColor rgb="FFB8CCE4"/>
        </patternFill>
      </fill>
    </dxf>
    <dxf>
      <fill>
        <patternFill patternType="solid">
          <fgColor rgb="FFFABF8F"/>
          <bgColor rgb="FFFABF8F"/>
        </patternFill>
      </fill>
    </dxf>
    <dxf>
      <font>
        <color rgb="FF006100"/>
      </font>
      <fill>
        <patternFill patternType="solid">
          <fgColor rgb="FFC6EFCE"/>
          <bgColor rgb="FFC6EFCE"/>
        </patternFill>
      </fill>
    </dxf>
  </dxfs>
  <tableStyles count="0" defaultTableStyle="TableStyleMedium2" defaultPivotStyle="PivotStyleLight16"/>
  <colors>
    <mruColors>
      <color rgb="FF0099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Priority</a:t>
            </a:r>
          </a:p>
        </c:rich>
      </c:tx>
      <c:overlay val="0"/>
    </c:title>
    <c:autoTitleDeleted val="0"/>
    <c:plotArea>
      <c:layout/>
      <c:pieChart>
        <c:varyColors val="1"/>
        <c:ser>
          <c:idx val="0"/>
          <c:order val="0"/>
          <c:tx>
            <c:strRef>
              <c:f>DASHBOARD!$B$9</c:f>
              <c:strCache>
                <c:ptCount val="1"/>
                <c:pt idx="0">
                  <c:v>Jumlah</c:v>
                </c:pt>
              </c:strCache>
            </c:strRef>
          </c:tx>
          <c:dPt>
            <c:idx val="0"/>
            <c:bubble3D val="0"/>
            <c:spPr>
              <a:solidFill>
                <a:schemeClr val="accent1"/>
              </a:solidFill>
            </c:spPr>
            <c:extLst>
              <c:ext xmlns:c16="http://schemas.microsoft.com/office/drawing/2014/chart" uri="{C3380CC4-5D6E-409C-BE32-E72D297353CC}">
                <c16:uniqueId val="{00000001-A305-402F-9F8E-63DAF7BC3159}"/>
              </c:ext>
            </c:extLst>
          </c:dPt>
          <c:dPt>
            <c:idx val="1"/>
            <c:bubble3D val="0"/>
            <c:spPr>
              <a:solidFill>
                <a:schemeClr val="accent2"/>
              </a:solidFill>
            </c:spPr>
            <c:extLst>
              <c:ext xmlns:c16="http://schemas.microsoft.com/office/drawing/2014/chart" uri="{C3380CC4-5D6E-409C-BE32-E72D297353CC}">
                <c16:uniqueId val="{00000003-A305-402F-9F8E-63DAF7BC3159}"/>
              </c:ext>
            </c:extLst>
          </c:dPt>
          <c:dPt>
            <c:idx val="2"/>
            <c:bubble3D val="0"/>
            <c:spPr>
              <a:solidFill>
                <a:schemeClr val="accent3"/>
              </a:solidFill>
            </c:spPr>
            <c:extLst>
              <c:ext xmlns:c16="http://schemas.microsoft.com/office/drawing/2014/chart" uri="{C3380CC4-5D6E-409C-BE32-E72D297353CC}">
                <c16:uniqueId val="{00000005-A305-402F-9F8E-63DAF7BC3159}"/>
              </c:ext>
            </c:extLst>
          </c:dPt>
          <c:dLbls>
            <c:dLbl>
              <c:idx val="2"/>
              <c:spPr/>
              <c:txPr>
                <a:bodyPr/>
                <a:lstStyle/>
                <a:p>
                  <a:pPr lvl="0">
                    <a:defRPr sz="900" b="0" i="0">
                      <a:latin typeface="+mn-lt"/>
                    </a:defRPr>
                  </a:pPr>
                  <a:endParaRPr lang="en-US"/>
                </a:p>
              </c:txPr>
              <c:showLegendKey val="0"/>
              <c:showVal val="0"/>
              <c:showCatName val="0"/>
              <c:showSerName val="0"/>
              <c:showPercent val="1"/>
              <c:showBubbleSize val="0"/>
              <c:extLst>
                <c:ext xmlns:c16="http://schemas.microsoft.com/office/drawing/2014/chart" uri="{C3380CC4-5D6E-409C-BE32-E72D297353CC}">
                  <c16:uniqueId val="{00000005-A305-402F-9F8E-63DAF7BC3159}"/>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DASHBOARD!$A$10:$A$12</c:f>
              <c:strCache>
                <c:ptCount val="3"/>
                <c:pt idx="0">
                  <c:v>P1</c:v>
                </c:pt>
                <c:pt idx="1">
                  <c:v>P2</c:v>
                </c:pt>
                <c:pt idx="2">
                  <c:v>P3</c:v>
                </c:pt>
              </c:strCache>
            </c:strRef>
          </c:cat>
          <c:val>
            <c:numRef>
              <c:f>DASHBOARD!$B$10:$B$12</c:f>
              <c:numCache>
                <c:formatCode>General</c:formatCode>
                <c:ptCount val="3"/>
                <c:pt idx="0">
                  <c:v>14</c:v>
                </c:pt>
                <c:pt idx="1">
                  <c:v>17</c:v>
                </c:pt>
                <c:pt idx="2">
                  <c:v>1</c:v>
                </c:pt>
              </c:numCache>
            </c:numRef>
          </c:val>
          <c:extLst>
            <c:ext xmlns:c16="http://schemas.microsoft.com/office/drawing/2014/chart" uri="{C3380CC4-5D6E-409C-BE32-E72D297353CC}">
              <c16:uniqueId val="{00000006-A305-402F-9F8E-63DAF7BC3159}"/>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Work Package</a:t>
            </a:r>
          </a:p>
        </c:rich>
      </c:tx>
      <c:overlay val="0"/>
    </c:title>
    <c:autoTitleDeleted val="0"/>
    <c:plotArea>
      <c:layout/>
      <c:pieChart>
        <c:varyColors val="1"/>
        <c:ser>
          <c:idx val="0"/>
          <c:order val="0"/>
          <c:tx>
            <c:strRef>
              <c:f>DASHBOARD!$E$9</c:f>
              <c:strCache>
                <c:ptCount val="1"/>
                <c:pt idx="0">
                  <c:v>Jumlah</c:v>
                </c:pt>
              </c:strCache>
            </c:strRef>
          </c:tx>
          <c:dPt>
            <c:idx val="0"/>
            <c:bubble3D val="0"/>
            <c:spPr>
              <a:solidFill>
                <a:schemeClr val="accent1"/>
              </a:solidFill>
            </c:spPr>
            <c:extLst>
              <c:ext xmlns:c16="http://schemas.microsoft.com/office/drawing/2014/chart" uri="{C3380CC4-5D6E-409C-BE32-E72D297353CC}">
                <c16:uniqueId val="{00000001-465A-4962-ADA9-17FC6E6913CD}"/>
              </c:ext>
            </c:extLst>
          </c:dPt>
          <c:dPt>
            <c:idx val="1"/>
            <c:bubble3D val="0"/>
            <c:spPr>
              <a:solidFill>
                <a:schemeClr val="accent2"/>
              </a:solidFill>
            </c:spPr>
            <c:extLst>
              <c:ext xmlns:c16="http://schemas.microsoft.com/office/drawing/2014/chart" uri="{C3380CC4-5D6E-409C-BE32-E72D297353CC}">
                <c16:uniqueId val="{00000003-465A-4962-ADA9-17FC6E6913CD}"/>
              </c:ext>
            </c:extLst>
          </c:dPt>
          <c:dPt>
            <c:idx val="2"/>
            <c:bubble3D val="0"/>
            <c:spPr>
              <a:solidFill>
                <a:schemeClr val="accent3"/>
              </a:solidFill>
            </c:spPr>
            <c:extLst>
              <c:ext xmlns:c16="http://schemas.microsoft.com/office/drawing/2014/chart" uri="{C3380CC4-5D6E-409C-BE32-E72D297353CC}">
                <c16:uniqueId val="{00000005-465A-4962-ADA9-17FC6E6913CD}"/>
              </c:ext>
            </c:extLst>
          </c:dPt>
          <c:dPt>
            <c:idx val="3"/>
            <c:bubble3D val="0"/>
            <c:spPr>
              <a:solidFill>
                <a:schemeClr val="accent4"/>
              </a:solidFill>
            </c:spPr>
            <c:extLst>
              <c:ext xmlns:c16="http://schemas.microsoft.com/office/drawing/2014/chart" uri="{C3380CC4-5D6E-409C-BE32-E72D297353CC}">
                <c16:uniqueId val="{00000007-465A-4962-ADA9-17FC6E6913C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DASHBOARD!$D$10:$D$13</c:f>
              <c:strCache>
                <c:ptCount val="4"/>
                <c:pt idx="0">
                  <c:v>Hulu</c:v>
                </c:pt>
                <c:pt idx="1">
                  <c:v>Midstream</c:v>
                </c:pt>
                <c:pt idx="2">
                  <c:v>Hilir</c:v>
                </c:pt>
                <c:pt idx="3">
                  <c:v>Enablers </c:v>
                </c:pt>
              </c:strCache>
            </c:strRef>
          </c:cat>
          <c:val>
            <c:numRef>
              <c:f>DASHBOARD!$E$10:$E$13</c:f>
              <c:numCache>
                <c:formatCode>General</c:formatCode>
                <c:ptCount val="4"/>
                <c:pt idx="0">
                  <c:v>11</c:v>
                </c:pt>
                <c:pt idx="1">
                  <c:v>4</c:v>
                </c:pt>
                <c:pt idx="2">
                  <c:v>7</c:v>
                </c:pt>
                <c:pt idx="3">
                  <c:v>10</c:v>
                </c:pt>
              </c:numCache>
            </c:numRef>
          </c:val>
          <c:extLst>
            <c:ext xmlns:c16="http://schemas.microsoft.com/office/drawing/2014/chart" uri="{C3380CC4-5D6E-409C-BE32-E72D297353CC}">
              <c16:uniqueId val="{00000008-465A-4962-ADA9-17FC6E6913C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News Indicator</a:t>
            </a:r>
          </a:p>
        </c:rich>
      </c:tx>
      <c:overlay val="0"/>
    </c:title>
    <c:autoTitleDeleted val="0"/>
    <c:plotArea>
      <c:layout/>
      <c:pieChart>
        <c:varyColors val="1"/>
        <c:ser>
          <c:idx val="0"/>
          <c:order val="0"/>
          <c:tx>
            <c:strRef>
              <c:f>DASHBOARD!$H$9</c:f>
              <c:strCache>
                <c:ptCount val="1"/>
                <c:pt idx="0">
                  <c:v>Value</c:v>
                </c:pt>
              </c:strCache>
            </c:strRef>
          </c:tx>
          <c:dPt>
            <c:idx val="0"/>
            <c:bubble3D val="0"/>
            <c:spPr>
              <a:solidFill>
                <a:schemeClr val="accent1"/>
              </a:solidFill>
            </c:spPr>
            <c:extLst>
              <c:ext xmlns:c16="http://schemas.microsoft.com/office/drawing/2014/chart" uri="{C3380CC4-5D6E-409C-BE32-E72D297353CC}">
                <c16:uniqueId val="{00000001-0C77-414E-80D1-1BD48B814764}"/>
              </c:ext>
            </c:extLst>
          </c:dPt>
          <c:dPt>
            <c:idx val="1"/>
            <c:bubble3D val="0"/>
            <c:spPr>
              <a:solidFill>
                <a:schemeClr val="accent2"/>
              </a:solidFill>
            </c:spPr>
            <c:extLst>
              <c:ext xmlns:c16="http://schemas.microsoft.com/office/drawing/2014/chart" uri="{C3380CC4-5D6E-409C-BE32-E72D297353CC}">
                <c16:uniqueId val="{00000003-0C77-414E-80D1-1BD48B814764}"/>
              </c:ext>
            </c:extLst>
          </c:dPt>
          <c:dPt>
            <c:idx val="2"/>
            <c:bubble3D val="0"/>
            <c:spPr>
              <a:solidFill>
                <a:schemeClr val="accent3"/>
              </a:solidFill>
            </c:spPr>
            <c:extLst>
              <c:ext xmlns:c16="http://schemas.microsoft.com/office/drawing/2014/chart" uri="{C3380CC4-5D6E-409C-BE32-E72D297353CC}">
                <c16:uniqueId val="{00000005-0C77-414E-80D1-1BD48B814764}"/>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DASHBOARD!$G$10:$G$12</c:f>
              <c:strCache>
                <c:ptCount val="3"/>
                <c:pt idx="0">
                  <c:v>Stakeholder / lembaga</c:v>
                </c:pt>
                <c:pt idx="1">
                  <c:v>Regulatory items</c:v>
                </c:pt>
                <c:pt idx="2">
                  <c:v>Policy areas</c:v>
                </c:pt>
              </c:strCache>
            </c:strRef>
          </c:cat>
          <c:val>
            <c:numRef>
              <c:f>DASHBOARD!$H$10:$H$12</c:f>
              <c:numCache>
                <c:formatCode>General</c:formatCode>
                <c:ptCount val="3"/>
                <c:pt idx="0">
                  <c:v>32</c:v>
                </c:pt>
                <c:pt idx="1">
                  <c:v>39</c:v>
                </c:pt>
                <c:pt idx="2">
                  <c:v>12</c:v>
                </c:pt>
              </c:numCache>
            </c:numRef>
          </c:val>
          <c:extLst>
            <c:ext xmlns:c16="http://schemas.microsoft.com/office/drawing/2014/chart" uri="{C3380CC4-5D6E-409C-BE32-E72D297353CC}">
              <c16:uniqueId val="{00000006-0C77-414E-80D1-1BD48B81476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D" sz="1400" b="0" i="0">
                <a:solidFill>
                  <a:srgbClr val="757575"/>
                </a:solidFill>
                <a:latin typeface="+mn-lt"/>
              </a:rPr>
              <a:t>News Segment</a:t>
            </a:r>
          </a:p>
        </c:rich>
      </c:tx>
      <c:overlay val="0"/>
    </c:title>
    <c:autoTitleDeleted val="0"/>
    <c:plotArea>
      <c:layout/>
      <c:pieChart>
        <c:varyColors val="1"/>
        <c:ser>
          <c:idx val="0"/>
          <c:order val="0"/>
          <c:tx>
            <c:strRef>
              <c:f>DASHBOARD!$L$9</c:f>
              <c:strCache>
                <c:ptCount val="1"/>
                <c:pt idx="0">
                  <c:v>Jumlah</c:v>
                </c:pt>
              </c:strCache>
            </c:strRef>
          </c:tx>
          <c:dPt>
            <c:idx val="0"/>
            <c:bubble3D val="0"/>
            <c:spPr>
              <a:solidFill>
                <a:schemeClr val="accent1"/>
              </a:solidFill>
            </c:spPr>
            <c:extLst>
              <c:ext xmlns:c16="http://schemas.microsoft.com/office/drawing/2014/chart" uri="{C3380CC4-5D6E-409C-BE32-E72D297353CC}">
                <c16:uniqueId val="{00000001-B8D9-49A3-8311-59E3969054D2}"/>
              </c:ext>
            </c:extLst>
          </c:dPt>
          <c:dPt>
            <c:idx val="1"/>
            <c:bubble3D val="0"/>
            <c:spPr>
              <a:solidFill>
                <a:schemeClr val="accent2"/>
              </a:solidFill>
            </c:spPr>
            <c:extLst>
              <c:ext xmlns:c16="http://schemas.microsoft.com/office/drawing/2014/chart" uri="{C3380CC4-5D6E-409C-BE32-E72D297353CC}">
                <c16:uniqueId val="{00000003-B8D9-49A3-8311-59E3969054D2}"/>
              </c:ext>
            </c:extLst>
          </c:dPt>
          <c:dPt>
            <c:idx val="2"/>
            <c:bubble3D val="0"/>
            <c:spPr>
              <a:solidFill>
                <a:schemeClr val="accent3"/>
              </a:solidFill>
            </c:spPr>
            <c:extLst>
              <c:ext xmlns:c16="http://schemas.microsoft.com/office/drawing/2014/chart" uri="{C3380CC4-5D6E-409C-BE32-E72D297353CC}">
                <c16:uniqueId val="{00000005-B8D9-49A3-8311-59E3969054D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DASHBOARD!$K$10:$K$12</c:f>
              <c:strCache>
                <c:ptCount val="3"/>
                <c:pt idx="0">
                  <c:v>Global</c:v>
                </c:pt>
                <c:pt idx="1">
                  <c:v>Lokal</c:v>
                </c:pt>
                <c:pt idx="2">
                  <c:v>Molinas</c:v>
                </c:pt>
              </c:strCache>
            </c:strRef>
          </c:cat>
          <c:val>
            <c:numRef>
              <c:f>DASHBOARD!$L$10:$L$12</c:f>
              <c:numCache>
                <c:formatCode>General</c:formatCode>
                <c:ptCount val="3"/>
                <c:pt idx="0">
                  <c:v>42</c:v>
                </c:pt>
                <c:pt idx="1">
                  <c:v>31</c:v>
                </c:pt>
                <c:pt idx="2">
                  <c:v>57</c:v>
                </c:pt>
              </c:numCache>
            </c:numRef>
          </c:val>
          <c:extLst>
            <c:ext xmlns:c16="http://schemas.microsoft.com/office/drawing/2014/chart" uri="{C3380CC4-5D6E-409C-BE32-E72D297353CC}">
              <c16:uniqueId val="{00000006-B8D9-49A3-8311-59E3969054D2}"/>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704850</xdr:colOff>
      <xdr:row>14</xdr:row>
      <xdr:rowOff>123825</xdr:rowOff>
    </xdr:from>
    <xdr:ext cx="3400425" cy="2476500"/>
    <xdr:graphicFrame macro="">
      <xdr:nvGraphicFramePr>
        <xdr:cNvPr id="1099515587" name="Chart 1">
          <a:extLst>
            <a:ext uri="{FF2B5EF4-FFF2-40B4-BE49-F238E27FC236}">
              <a16:creationId xmlns:a16="http://schemas.microsoft.com/office/drawing/2014/main" id="{00000000-0008-0000-0000-0000C3468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1562100</xdr:colOff>
      <xdr:row>14</xdr:row>
      <xdr:rowOff>85725</xdr:rowOff>
    </xdr:from>
    <xdr:ext cx="3829050" cy="2571750"/>
    <xdr:graphicFrame macro="">
      <xdr:nvGraphicFramePr>
        <xdr:cNvPr id="2016782717" name="Chart 2">
          <a:extLst>
            <a:ext uri="{FF2B5EF4-FFF2-40B4-BE49-F238E27FC236}">
              <a16:creationId xmlns:a16="http://schemas.microsoft.com/office/drawing/2014/main" id="{00000000-0008-0000-0000-00007DA93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1609725</xdr:colOff>
      <xdr:row>14</xdr:row>
      <xdr:rowOff>19050</xdr:rowOff>
    </xdr:from>
    <xdr:ext cx="3905250" cy="2733675"/>
    <xdr:graphicFrame macro="">
      <xdr:nvGraphicFramePr>
        <xdr:cNvPr id="1594411927" name="Chart 3">
          <a:extLst>
            <a:ext uri="{FF2B5EF4-FFF2-40B4-BE49-F238E27FC236}">
              <a16:creationId xmlns:a16="http://schemas.microsoft.com/office/drawing/2014/main" id="{00000000-0008-0000-0000-000097CB0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714375</xdr:colOff>
      <xdr:row>13</xdr:row>
      <xdr:rowOff>238125</xdr:rowOff>
    </xdr:from>
    <xdr:ext cx="4448175" cy="2790825"/>
    <xdr:graphicFrame macro="">
      <xdr:nvGraphicFramePr>
        <xdr:cNvPr id="211052035" name="Chart 4">
          <a:extLst>
            <a:ext uri="{FF2B5EF4-FFF2-40B4-BE49-F238E27FC236}">
              <a16:creationId xmlns:a16="http://schemas.microsoft.com/office/drawing/2014/main" id="{00000000-0008-0000-0000-000003669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peraturan.bpk.go.id/Details/38690/uu-no-28-tahun-2014?utm_source=chatgpt.com" TargetMode="External"/><Relationship Id="rId2" Type="http://schemas.openxmlformats.org/officeDocument/2006/relationships/hyperlink" Target="https://peraturan.bpk.go.id/Details/45076/uu-no-31-tahun-2000?utm_source=chatgpt.com" TargetMode="External"/><Relationship Id="rId1" Type="http://schemas.openxmlformats.org/officeDocument/2006/relationships/hyperlink" Target="https://peraturan.bpk.go.id/Details/306515/uu-no-65-tahun-2024?utm_source=chatgpt.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haryati@ifsa.or.id" TargetMode="External"/><Relationship Id="rId3" Type="http://schemas.openxmlformats.org/officeDocument/2006/relationships/hyperlink" Target="mailto:wahyu@atmi.co.id" TargetMode="External"/><Relationship Id="rId7" Type="http://schemas.openxmlformats.org/officeDocument/2006/relationships/hyperlink" Target="mailto:ujangsakiman@pindad.com" TargetMode="External"/><Relationship Id="rId2" Type="http://schemas.openxmlformats.org/officeDocument/2006/relationships/hyperlink" Target="mailto:mateus@adyawinsa.com" TargetMode="External"/><Relationship Id="rId1" Type="http://schemas.openxmlformats.org/officeDocument/2006/relationships/hyperlink" Target="mailto:ardiyansyah.laode@adyawinsa.com" TargetMode="External"/><Relationship Id="rId6" Type="http://schemas.openxmlformats.org/officeDocument/2006/relationships/hyperlink" Target="mailto:kuncara@tricentrumfortuna.com" TargetMode="External"/><Relationship Id="rId5" Type="http://schemas.openxmlformats.org/officeDocument/2006/relationships/hyperlink" Target="mailto:niko.chandra@indonesiabatterycorp.com" TargetMode="External"/><Relationship Id="rId10" Type="http://schemas.openxmlformats.org/officeDocument/2006/relationships/hyperlink" Target="mailto:nono_m@indomobilfinance.com" TargetMode="External"/><Relationship Id="rId4" Type="http://schemas.openxmlformats.org/officeDocument/2006/relationships/hyperlink" Target="mailto:praditya.ardihantoro@adyawinsa.com" TargetMode="External"/><Relationship Id="rId9" Type="http://schemas.openxmlformats.org/officeDocument/2006/relationships/hyperlink" Target="mailto:rpalia@ucdavi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74806"/>
  </sheetPr>
  <dimension ref="A1:Z1000"/>
  <sheetViews>
    <sheetView showGridLines="0" workbookViewId="0">
      <pane ySplit="6" topLeftCell="A7" activePane="bottomLeft" state="frozen"/>
      <selection pane="bottomLeft" activeCell="A8" sqref="A8:F8"/>
    </sheetView>
  </sheetViews>
  <sheetFormatPr defaultColWidth="14.42578125" defaultRowHeight="15" customHeight="1" x14ac:dyDescent="0.25"/>
  <cols>
    <col min="1" max="1" width="22" customWidth="1"/>
    <col min="2" max="2" width="15" customWidth="1"/>
    <col min="3" max="3" width="19.85546875" customWidth="1"/>
    <col min="4" max="4" width="29.28515625" customWidth="1"/>
    <col min="5" max="5" width="21.7109375" customWidth="1"/>
    <col min="6" max="6" width="21.140625" customWidth="1"/>
    <col min="7" max="7" width="24" customWidth="1"/>
    <col min="8" max="8" width="17" customWidth="1"/>
    <col min="9" max="9" width="19" customWidth="1"/>
    <col min="10" max="10" width="17" customWidth="1"/>
    <col min="11" max="11" width="16" customWidth="1"/>
    <col min="12" max="12" width="14" customWidth="1"/>
    <col min="13" max="14" width="18" customWidth="1"/>
    <col min="15" max="26" width="9" customWidth="1"/>
  </cols>
  <sheetData>
    <row r="1" spans="1:26" ht="37.5" customHeight="1" x14ac:dyDescent="0.25">
      <c r="A1" s="185" t="s">
        <v>456</v>
      </c>
      <c r="B1" s="178"/>
      <c r="C1" s="178"/>
      <c r="D1" s="178"/>
      <c r="E1" s="178"/>
      <c r="F1" s="178"/>
      <c r="G1" s="178"/>
      <c r="H1" s="178"/>
      <c r="I1" s="178"/>
      <c r="J1" s="178"/>
      <c r="K1" s="178"/>
      <c r="L1" s="178"/>
      <c r="M1" s="178"/>
      <c r="N1" s="179"/>
      <c r="O1" s="32"/>
      <c r="P1" s="32"/>
      <c r="Q1" s="32"/>
      <c r="R1" s="32"/>
      <c r="S1" s="32"/>
      <c r="T1" s="32"/>
      <c r="U1" s="32"/>
      <c r="V1" s="32"/>
      <c r="W1" s="32"/>
      <c r="X1" s="32"/>
      <c r="Y1" s="32"/>
      <c r="Z1" s="32"/>
    </row>
    <row r="2" spans="1:26" ht="21.75" customHeight="1" x14ac:dyDescent="0.25">
      <c r="A2" s="186" t="s">
        <v>492</v>
      </c>
      <c r="B2" s="187"/>
      <c r="C2" s="187"/>
      <c r="D2" s="187"/>
      <c r="E2" s="187"/>
      <c r="F2" s="187"/>
      <c r="G2" s="187"/>
      <c r="H2" s="187"/>
      <c r="I2" s="187"/>
      <c r="J2" s="187"/>
      <c r="K2" s="187"/>
      <c r="L2" s="187"/>
      <c r="M2" s="187"/>
      <c r="N2" s="187"/>
      <c r="O2" s="32"/>
      <c r="P2" s="32"/>
      <c r="Q2" s="32"/>
      <c r="R2" s="32"/>
      <c r="S2" s="32"/>
      <c r="T2" s="32"/>
      <c r="U2" s="32"/>
      <c r="V2" s="32"/>
      <c r="W2" s="32"/>
      <c r="X2" s="32"/>
      <c r="Y2" s="32"/>
      <c r="Z2" s="32"/>
    </row>
    <row r="3" spans="1:26" ht="19.5" customHeight="1" x14ac:dyDescent="0.25">
      <c r="A3" s="32"/>
      <c r="B3" s="32"/>
      <c r="C3" s="32"/>
      <c r="D3" s="32"/>
      <c r="E3" s="32"/>
      <c r="F3" s="32"/>
      <c r="G3" s="32"/>
      <c r="H3" s="32"/>
      <c r="I3" s="32"/>
      <c r="J3" s="32"/>
      <c r="K3" s="32"/>
      <c r="L3" s="32"/>
      <c r="M3" s="32"/>
      <c r="N3" s="32"/>
      <c r="O3" s="32"/>
      <c r="P3" s="32"/>
      <c r="Q3" s="32"/>
      <c r="R3" s="32"/>
      <c r="S3" s="32"/>
      <c r="T3" s="32"/>
      <c r="U3" s="32"/>
      <c r="V3" s="32"/>
      <c r="W3" s="32"/>
      <c r="X3" s="32"/>
      <c r="Y3" s="32"/>
      <c r="Z3" s="32"/>
    </row>
    <row r="4" spans="1:26" ht="19.5" customHeight="1" x14ac:dyDescent="0.25">
      <c r="A4" s="188" t="s">
        <v>502</v>
      </c>
      <c r="B4" s="189"/>
      <c r="C4" s="190"/>
      <c r="D4" s="33" t="s">
        <v>503</v>
      </c>
      <c r="E4" s="33" t="s">
        <v>504</v>
      </c>
      <c r="F4" s="33" t="s">
        <v>505</v>
      </c>
      <c r="G4" s="188" t="s">
        <v>506</v>
      </c>
      <c r="H4" s="189"/>
      <c r="I4" s="190"/>
      <c r="J4" s="188" t="s">
        <v>508</v>
      </c>
      <c r="K4" s="189"/>
      <c r="L4" s="190"/>
      <c r="M4" s="188" t="s">
        <v>512</v>
      </c>
      <c r="N4" s="190"/>
      <c r="O4" s="32"/>
      <c r="P4" s="32"/>
      <c r="Q4" s="32"/>
      <c r="R4" s="32"/>
      <c r="S4" s="32"/>
      <c r="T4" s="32"/>
      <c r="U4" s="32"/>
      <c r="V4" s="32"/>
      <c r="W4" s="32"/>
      <c r="X4" s="32"/>
      <c r="Y4" s="32"/>
      <c r="Z4" s="32"/>
    </row>
    <row r="5" spans="1:26" ht="19.5" customHeight="1" x14ac:dyDescent="0.25">
      <c r="A5" s="181">
        <f>COUNTA('MoLINas Integrated Plan'!B6:B37)</f>
        <v>32</v>
      </c>
      <c r="B5" s="191"/>
      <c r="C5" s="182"/>
      <c r="D5" s="193">
        <f>COUNTIF('MoLINas Integrated Plan'!I6:I37,"P1")</f>
        <v>14</v>
      </c>
      <c r="E5" s="195">
        <f>COUNTIF('MoLINas Integrated Plan'!I6:I37,"P2")</f>
        <v>17</v>
      </c>
      <c r="F5" s="195">
        <f>COUNTIF('MoLINas Integrated Plan'!I6:I37,"P3")</f>
        <v>1</v>
      </c>
      <c r="G5" s="181">
        <f>COUNTA('DASAR STAKEHOLDER &amp; REGULASI'!A2:A215)</f>
        <v>32</v>
      </c>
      <c r="H5" s="191"/>
      <c r="I5" s="182"/>
      <c r="J5" s="181">
        <f>COUNTA('USULAN &amp; PERBANDINGAN'!A2:A13)</f>
        <v>12</v>
      </c>
      <c r="K5" s="191"/>
      <c r="L5" s="182"/>
      <c r="M5" s="181">
        <f>COUNTA('DATABASE BERITA'!A2:A300)</f>
        <v>130</v>
      </c>
      <c r="N5" s="182"/>
      <c r="O5" s="32"/>
      <c r="P5" s="32"/>
      <c r="Q5" s="32"/>
      <c r="R5" s="32"/>
      <c r="S5" s="32"/>
      <c r="T5" s="32"/>
      <c r="U5" s="32"/>
      <c r="V5" s="32"/>
      <c r="W5" s="32"/>
      <c r="X5" s="32"/>
      <c r="Y5" s="32"/>
      <c r="Z5" s="32"/>
    </row>
    <row r="6" spans="1:26" ht="19.5" customHeight="1" x14ac:dyDescent="0.25">
      <c r="A6" s="183"/>
      <c r="B6" s="192"/>
      <c r="C6" s="184"/>
      <c r="D6" s="194"/>
      <c r="E6" s="194"/>
      <c r="F6" s="194"/>
      <c r="G6" s="183"/>
      <c r="H6" s="192"/>
      <c r="I6" s="184"/>
      <c r="J6" s="183"/>
      <c r="K6" s="192"/>
      <c r="L6" s="184"/>
      <c r="M6" s="183"/>
      <c r="N6" s="184"/>
      <c r="O6" s="32"/>
      <c r="P6" s="32"/>
      <c r="Q6" s="32"/>
      <c r="R6" s="32"/>
      <c r="S6" s="32"/>
      <c r="T6" s="32"/>
      <c r="U6" s="32"/>
      <c r="V6" s="32"/>
      <c r="W6" s="32"/>
      <c r="X6" s="32"/>
      <c r="Y6" s="32"/>
      <c r="Z6" s="32"/>
    </row>
    <row r="7" spans="1:26" ht="19.5" customHeight="1" x14ac:dyDescent="0.25">
      <c r="A7" s="32"/>
      <c r="B7" s="32"/>
      <c r="C7" s="32"/>
      <c r="D7" s="32"/>
      <c r="E7" s="32"/>
      <c r="F7" s="32"/>
      <c r="G7" s="32"/>
      <c r="H7" s="32"/>
      <c r="I7" s="32"/>
      <c r="J7" s="32"/>
      <c r="K7" s="32"/>
      <c r="L7" s="32"/>
      <c r="M7" s="32"/>
      <c r="N7" s="32"/>
      <c r="O7" s="32"/>
      <c r="P7" s="32"/>
      <c r="Q7" s="32"/>
      <c r="R7" s="32"/>
      <c r="S7" s="32"/>
      <c r="T7" s="32"/>
      <c r="U7" s="32"/>
      <c r="V7" s="32"/>
      <c r="W7" s="32"/>
      <c r="X7" s="32"/>
      <c r="Y7" s="32"/>
      <c r="Z7" s="32"/>
    </row>
    <row r="8" spans="1:26" ht="19.5" customHeight="1" x14ac:dyDescent="0.25">
      <c r="A8" s="196" t="s">
        <v>595</v>
      </c>
      <c r="B8" s="178"/>
      <c r="C8" s="178"/>
      <c r="D8" s="178"/>
      <c r="E8" s="178"/>
      <c r="F8" s="179"/>
      <c r="G8" s="177" t="s">
        <v>597</v>
      </c>
      <c r="H8" s="178"/>
      <c r="I8" s="178"/>
      <c r="J8" s="179"/>
      <c r="K8" s="177" t="s">
        <v>600</v>
      </c>
      <c r="L8" s="178"/>
      <c r="M8" s="178"/>
      <c r="N8" s="179"/>
      <c r="O8" s="32"/>
      <c r="P8" s="32"/>
      <c r="Q8" s="32"/>
      <c r="R8" s="32"/>
      <c r="S8" s="32"/>
      <c r="T8" s="32"/>
      <c r="U8" s="32"/>
      <c r="V8" s="32"/>
      <c r="W8" s="32"/>
      <c r="X8" s="32"/>
      <c r="Y8" s="32"/>
      <c r="Z8" s="32"/>
    </row>
    <row r="9" spans="1:26" ht="19.5" customHeight="1" x14ac:dyDescent="0.25">
      <c r="A9" s="42" t="s">
        <v>604</v>
      </c>
      <c r="B9" s="42" t="s">
        <v>606</v>
      </c>
      <c r="C9" s="32"/>
      <c r="D9" s="42" t="s">
        <v>607</v>
      </c>
      <c r="E9" s="42" t="s">
        <v>606</v>
      </c>
      <c r="F9" s="32"/>
      <c r="G9" s="42" t="s">
        <v>608</v>
      </c>
      <c r="H9" s="42" t="s">
        <v>609</v>
      </c>
      <c r="I9" s="32"/>
      <c r="J9" s="32"/>
      <c r="K9" s="42" t="s">
        <v>610</v>
      </c>
      <c r="L9" s="42" t="s">
        <v>606</v>
      </c>
      <c r="M9" s="42" t="s">
        <v>611</v>
      </c>
      <c r="N9" s="42" t="s">
        <v>609</v>
      </c>
      <c r="O9" s="32"/>
      <c r="P9" s="32"/>
      <c r="Q9" s="32"/>
      <c r="R9" s="32"/>
      <c r="S9" s="32"/>
      <c r="T9" s="32"/>
      <c r="U9" s="32"/>
      <c r="V9" s="32"/>
      <c r="W9" s="32"/>
      <c r="X9" s="32"/>
      <c r="Y9" s="32"/>
      <c r="Z9" s="32"/>
    </row>
    <row r="10" spans="1:26" ht="19.5" customHeight="1" x14ac:dyDescent="0.25">
      <c r="A10" s="43" t="s">
        <v>614</v>
      </c>
      <c r="B10" s="43">
        <f>COUNTIF('MoLINas Integrated Plan'!I6:I37,A10)</f>
        <v>14</v>
      </c>
      <c r="C10" s="32"/>
      <c r="D10" s="43" t="s">
        <v>346</v>
      </c>
      <c r="E10" s="43">
        <f>COUNTIF('MoLINas Integrated Plan'!J6:J37,"*"&amp;D10&amp;"*")</f>
        <v>11</v>
      </c>
      <c r="F10" s="32"/>
      <c r="G10" s="43" t="s">
        <v>626</v>
      </c>
      <c r="H10" s="43">
        <f>COUNTA('DASAR STAKEHOLDER &amp; REGULASI'!A2:A150)</f>
        <v>32</v>
      </c>
      <c r="I10" s="32"/>
      <c r="J10" s="32"/>
      <c r="K10" s="43" t="s">
        <v>632</v>
      </c>
      <c r="L10" s="44">
        <f>COUNTIF('DATABASE BERITA'!K:K,DASHBOARD!K10)</f>
        <v>42</v>
      </c>
      <c r="M10" s="43" t="s">
        <v>635</v>
      </c>
      <c r="N10" s="43">
        <f>SUMPRODUCT(('DATABASE BERITA'!C2:C131&lt;&gt;"")/COUNTIF('DATABASE BERITA'!C2:C131,'DATABASE BERITA'!C2:C131&amp;""))</f>
        <v>11</v>
      </c>
      <c r="O10" s="32"/>
      <c r="P10" s="32"/>
      <c r="Q10" s="32"/>
      <c r="R10" s="32"/>
      <c r="S10" s="32"/>
      <c r="T10" s="32"/>
      <c r="U10" s="32"/>
      <c r="V10" s="32"/>
      <c r="W10" s="32"/>
      <c r="X10" s="32"/>
      <c r="Y10" s="32"/>
      <c r="Z10" s="32"/>
    </row>
    <row r="11" spans="1:26" ht="19.5" customHeight="1" x14ac:dyDescent="0.25">
      <c r="A11" s="45" t="s">
        <v>638</v>
      </c>
      <c r="B11" s="45">
        <f>COUNTIF('MoLINas Integrated Plan'!I6:I37,A11)</f>
        <v>17</v>
      </c>
      <c r="C11" s="32"/>
      <c r="D11" s="45" t="s">
        <v>263</v>
      </c>
      <c r="E11" s="45">
        <f>COUNTIF('MoLINas Integrated Plan'!J6:J37,"*"&amp;D11&amp;"*")</f>
        <v>4</v>
      </c>
      <c r="F11" s="32"/>
      <c r="G11" s="45" t="s">
        <v>646</v>
      </c>
      <c r="H11" s="45">
        <f>COUNTA('DASAR STAKEHOLDER &amp; REGULASI'!B2:B150)</f>
        <v>39</v>
      </c>
      <c r="I11" s="32"/>
      <c r="J11" s="32"/>
      <c r="K11" s="45" t="s">
        <v>647</v>
      </c>
      <c r="L11" s="46">
        <f>COUNTIF('DATABASE BERITA'!K:K,DASHBOARD!K11)</f>
        <v>31</v>
      </c>
      <c r="M11" s="45" t="s">
        <v>654</v>
      </c>
      <c r="N11" s="45">
        <f>SUMPRODUCT(('DATABASE BERITA'!F2:F131&lt;&gt;"")/COUNTIF('DATABASE BERITA'!F2:F131,'DATABASE BERITA'!F2:F131&amp;""))</f>
        <v>23.000000000000014</v>
      </c>
      <c r="O11" s="32"/>
      <c r="P11" s="32"/>
      <c r="Q11" s="32"/>
      <c r="R11" s="32"/>
      <c r="S11" s="32"/>
      <c r="T11" s="32"/>
      <c r="U11" s="32"/>
      <c r="V11" s="32"/>
      <c r="W11" s="32"/>
      <c r="X11" s="32"/>
      <c r="Y11" s="32"/>
      <c r="Z11" s="32"/>
    </row>
    <row r="12" spans="1:26" ht="19.5" customHeight="1" x14ac:dyDescent="0.25">
      <c r="A12" s="43" t="s">
        <v>658</v>
      </c>
      <c r="B12" s="43">
        <f>COUNTIF('MoLINas Integrated Plan'!I6:I37,A12)</f>
        <v>1</v>
      </c>
      <c r="C12" s="32"/>
      <c r="D12" s="43" t="s">
        <v>615</v>
      </c>
      <c r="E12" s="43">
        <f>COUNTIF('MoLINas Integrated Plan'!J6:J37,"*"&amp;D12&amp;"*")</f>
        <v>7</v>
      </c>
      <c r="F12" s="32"/>
      <c r="G12" s="43" t="s">
        <v>662</v>
      </c>
      <c r="H12" s="43">
        <f>COUNTA('USULAN &amp; PERBANDINGAN'!A2:A100)</f>
        <v>12</v>
      </c>
      <c r="I12" s="32"/>
      <c r="J12" s="32"/>
      <c r="K12" s="43" t="s">
        <v>664</v>
      </c>
      <c r="L12" s="44">
        <f>COUNTIF('DATABASE BERITA'!K:K,DASHBOARD!K12)</f>
        <v>57</v>
      </c>
      <c r="M12" s="43" t="s">
        <v>669</v>
      </c>
      <c r="N12" s="48">
        <f>MAX('DATABASE BERITA'!B:B)</f>
        <v>46274</v>
      </c>
      <c r="O12" s="32"/>
      <c r="P12" s="32"/>
      <c r="Q12" s="32"/>
      <c r="R12" s="32"/>
      <c r="S12" s="32"/>
      <c r="T12" s="32"/>
      <c r="U12" s="32"/>
      <c r="V12" s="32"/>
      <c r="W12" s="32"/>
      <c r="X12" s="32"/>
      <c r="Y12" s="32"/>
      <c r="Z12" s="32"/>
    </row>
    <row r="13" spans="1:26" ht="19.5" customHeight="1" x14ac:dyDescent="0.25">
      <c r="A13" s="32"/>
      <c r="B13" s="32"/>
      <c r="C13" s="32"/>
      <c r="D13" s="32" t="s">
        <v>672</v>
      </c>
      <c r="E13" s="32">
        <f>COUNTIF('MoLINas Integrated Plan'!J6:J37,"*"&amp;D13&amp;"*")</f>
        <v>10</v>
      </c>
      <c r="F13" s="32"/>
      <c r="G13" s="32"/>
      <c r="H13" s="49"/>
      <c r="I13" s="32"/>
      <c r="J13" s="32"/>
      <c r="K13" s="32"/>
      <c r="L13" s="32"/>
      <c r="M13" s="32"/>
      <c r="N13" s="32"/>
      <c r="O13" s="32"/>
      <c r="P13" s="32"/>
      <c r="Q13" s="32"/>
      <c r="R13" s="32"/>
      <c r="S13" s="32"/>
      <c r="T13" s="32"/>
      <c r="U13" s="32"/>
      <c r="V13" s="32"/>
      <c r="W13" s="32"/>
      <c r="X13" s="32"/>
      <c r="Y13" s="32"/>
      <c r="Z13" s="32"/>
    </row>
    <row r="14" spans="1:26" ht="19.5" customHeight="1" x14ac:dyDescent="0.25">
      <c r="A14" s="32"/>
      <c r="B14" s="32"/>
      <c r="C14" s="32"/>
      <c r="D14" s="32"/>
      <c r="E14" s="32"/>
      <c r="F14" s="32"/>
      <c r="G14" s="32"/>
      <c r="H14" s="49"/>
      <c r="I14" s="32"/>
      <c r="J14" s="32"/>
      <c r="K14" s="32"/>
      <c r="L14" s="32"/>
      <c r="M14" s="32"/>
      <c r="N14" s="32"/>
      <c r="O14" s="32"/>
      <c r="P14" s="32"/>
      <c r="Q14" s="32"/>
      <c r="R14" s="32"/>
      <c r="S14" s="32"/>
      <c r="T14" s="32"/>
      <c r="U14" s="32"/>
      <c r="V14" s="32"/>
      <c r="W14" s="32"/>
      <c r="X14" s="32"/>
      <c r="Y14" s="32"/>
      <c r="Z14" s="32"/>
    </row>
    <row r="15" spans="1:26" ht="19.5" customHeight="1" x14ac:dyDescent="0.2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spans="1:26" ht="19.5" customHeight="1" x14ac:dyDescent="0.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spans="1:26" ht="19.5" customHeight="1" x14ac:dyDescent="0.2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spans="1:26" ht="19.5" customHeight="1" x14ac:dyDescent="0.2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spans="1:26" ht="19.5" customHeight="1" x14ac:dyDescent="0.2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spans="1:26" ht="19.5" customHeight="1" x14ac:dyDescent="0.2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spans="1:26" ht="19.5" customHeight="1" x14ac:dyDescent="0.2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spans="1:26" ht="19.5" customHeight="1" x14ac:dyDescent="0.2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spans="1:26" ht="19.5" customHeight="1" x14ac:dyDescent="0.2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spans="1:26" ht="19.5" customHeight="1" x14ac:dyDescent="0.2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19.5" customHeight="1" x14ac:dyDescent="0.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spans="1:26" ht="19.5" customHeight="1" x14ac:dyDescent="0.2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spans="1:26" ht="19.5" customHeight="1" x14ac:dyDescent="0.2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spans="1:26" ht="15.75" customHeight="1" x14ac:dyDescent="0.25">
      <c r="A28" s="177" t="s">
        <v>691</v>
      </c>
      <c r="B28" s="178"/>
      <c r="C28" s="178"/>
      <c r="D28" s="178"/>
      <c r="E28" s="178"/>
      <c r="F28" s="178"/>
      <c r="G28" s="178"/>
      <c r="H28" s="178"/>
      <c r="I28" s="178"/>
      <c r="J28" s="178"/>
      <c r="K28" s="178"/>
      <c r="L28" s="178"/>
      <c r="M28" s="178"/>
      <c r="N28" s="179"/>
      <c r="O28" s="32"/>
      <c r="P28" s="32"/>
      <c r="Q28" s="32"/>
      <c r="R28" s="32"/>
      <c r="S28" s="32"/>
      <c r="T28" s="32"/>
      <c r="U28" s="32"/>
      <c r="V28" s="32"/>
      <c r="W28" s="32"/>
      <c r="X28" s="32"/>
      <c r="Y28" s="32"/>
      <c r="Z28" s="32"/>
    </row>
    <row r="29" spans="1:26" ht="15.75" customHeight="1" x14ac:dyDescent="0.25">
      <c r="A29" s="180" t="s">
        <v>697</v>
      </c>
      <c r="B29" s="178"/>
      <c r="C29" s="178"/>
      <c r="D29" s="179"/>
      <c r="E29" s="180" t="s">
        <v>701</v>
      </c>
      <c r="F29" s="178"/>
      <c r="G29" s="178"/>
      <c r="H29" s="178"/>
      <c r="I29" s="179"/>
      <c r="J29" s="180" t="s">
        <v>702</v>
      </c>
      <c r="K29" s="178"/>
      <c r="L29" s="178"/>
      <c r="M29" s="178"/>
      <c r="N29" s="179"/>
      <c r="O29" s="32"/>
      <c r="P29" s="32"/>
      <c r="Q29" s="32"/>
      <c r="R29" s="32"/>
      <c r="S29" s="32"/>
      <c r="T29" s="32"/>
      <c r="U29" s="32"/>
      <c r="V29" s="32"/>
      <c r="W29" s="32"/>
      <c r="X29" s="32"/>
      <c r="Y29" s="32"/>
      <c r="Z29" s="32"/>
    </row>
    <row r="30" spans="1:26" ht="15.75" customHeight="1" x14ac:dyDescent="0.25">
      <c r="A30" s="175" t="str">
        <f>'USULAN &amp; PERBANDINGAN'!B2</f>
        <v>Mineral &amp; Bahan Baku</v>
      </c>
      <c r="B30" s="176"/>
      <c r="C30" s="176"/>
      <c r="D30" s="176"/>
      <c r="E30" s="175" t="str">
        <f>'USULAN &amp; PERBANDINGAN'!F2</f>
        <v>Memperluas ekosistem KBLBB sampai upstream bahan baku strategis. Mengintegrasikan roadmap mineral kritis dengan baterai, hilirisasi, traceability, ketahanan pasok, efisiensi penggunaan material dan pengembangan material substitusi.</v>
      </c>
      <c r="F30" s="176"/>
      <c r="G30" s="176"/>
      <c r="H30" s="176"/>
      <c r="I30" s="176"/>
      <c r="J30" s="175" t="str">
        <f>'USULAN &amp; PERBANDINGAN'!H2</f>
        <v>10% dari total portofolio R&amp;D KBLBB diarahkan pada refining, material baterai, precursor, material aktif, efisiensi material dan substitusi mineral kritis.</v>
      </c>
      <c r="K30" s="176"/>
      <c r="L30" s="176"/>
      <c r="M30" s="176"/>
      <c r="N30" s="176"/>
      <c r="O30" s="32"/>
      <c r="P30" s="32"/>
      <c r="Q30" s="32"/>
      <c r="R30" s="32"/>
      <c r="S30" s="32"/>
      <c r="T30" s="32"/>
      <c r="U30" s="32"/>
      <c r="V30" s="32"/>
      <c r="W30" s="32"/>
      <c r="X30" s="32"/>
      <c r="Y30" s="32"/>
      <c r="Z30" s="32"/>
    </row>
    <row r="31" spans="1:26" ht="15.75" customHeight="1" x14ac:dyDescent="0.25">
      <c r="A31" s="172" t="str">
        <f>'USULAN &amp; PERBANDINGAN'!B3</f>
        <v>Baterai &amp; Teknologi Baterai</v>
      </c>
      <c r="B31" s="173"/>
      <c r="C31" s="173"/>
      <c r="D31" s="174"/>
      <c r="E31" s="172" t="str">
        <f>'USULAN &amp; PERBANDINGAN'!F3</f>
        <v>Mengubah pendekatan dari battery component menjadi battery lifecycle ecosystem. Mencakup cell, module/pack, BMS, thermal management, safety, diagnostics/SOH, second-life, collection, recycling, recovery, traceability dan battery passport.</v>
      </c>
      <c r="F31" s="173"/>
      <c r="G31" s="173"/>
      <c r="H31" s="173"/>
      <c r="I31" s="174"/>
      <c r="J31" s="172" t="str">
        <f>'USULAN &amp; PERBANDINGAN'!H3</f>
        <v>20% dari portofolio R&amp;D KBLBB untuk battery safety, fast charging, SOH/diagnostics, thermal management, LFP/NMC dan chemistry alternatif, second-life, recycling dan battery passport.</v>
      </c>
      <c r="K31" s="173"/>
      <c r="L31" s="173"/>
      <c r="M31" s="173"/>
      <c r="N31" s="174"/>
      <c r="O31" s="32"/>
      <c r="P31" s="32"/>
      <c r="Q31" s="32"/>
      <c r="R31" s="32"/>
      <c r="S31" s="32"/>
      <c r="T31" s="32"/>
      <c r="U31" s="32"/>
      <c r="V31" s="32"/>
      <c r="W31" s="32"/>
      <c r="X31" s="32"/>
      <c r="Y31" s="32"/>
      <c r="Z31" s="32"/>
    </row>
    <row r="32" spans="1:26" ht="15.75" customHeight="1" x14ac:dyDescent="0.25">
      <c r="A32" s="175" t="str">
        <f>'USULAN &amp; PERBANDINGAN'!B4</f>
        <v>Powertrain &amp; Komponen Elektrikal</v>
      </c>
      <c r="B32" s="176"/>
      <c r="C32" s="176"/>
      <c r="D32" s="176"/>
      <c r="E32" s="175" t="str">
        <f>'USULAN &amp; PERBANDINGAN'!F4</f>
        <v>Memperdalam lokalisasi teknologi inti powertrain, termasuk motor, inverter/controller, BMS, charger, power electronics dan komponen kritis; disertai supplier development dan transfer teknologi.</v>
      </c>
      <c r="F32" s="176"/>
      <c r="G32" s="176"/>
      <c r="H32" s="176"/>
      <c r="I32" s="176"/>
      <c r="J32" s="175" t="str">
        <f>'USULAN &amp; PERBANDINGAN'!H4</f>
        <v>20% untuk motor listrik, inverter/controller, semiconductor/power electronics, thermal management, control system dan system efficiency.</v>
      </c>
      <c r="K32" s="176"/>
      <c r="L32" s="176"/>
      <c r="M32" s="176"/>
      <c r="N32" s="176"/>
      <c r="O32" s="32"/>
      <c r="P32" s="32"/>
      <c r="Q32" s="32"/>
      <c r="R32" s="32"/>
      <c r="S32" s="32"/>
      <c r="T32" s="32"/>
      <c r="U32" s="32"/>
      <c r="V32" s="32"/>
      <c r="W32" s="32"/>
      <c r="X32" s="32"/>
      <c r="Y32" s="32"/>
      <c r="Z32" s="32"/>
    </row>
    <row r="33" spans="1:26" ht="15.75" customHeight="1" x14ac:dyDescent="0.25">
      <c r="A33" s="172" t="str">
        <f>'USULAN &amp; PERBANDINGAN'!B5</f>
        <v>Chassis / Rangka &amp; Komponen Kendaraan</v>
      </c>
      <c r="B33" s="173"/>
      <c r="C33" s="173"/>
      <c r="D33" s="174"/>
      <c r="E33" s="172" t="str">
        <f>'USULAN &amp; PERBANDINGAN'!F5</f>
        <v>Memperkuat domestic engineering &amp; supplier capability untuk frame, suspension, steering, braking, wheel, body dan safety component.</v>
      </c>
      <c r="F33" s="173"/>
      <c r="G33" s="173"/>
      <c r="H33" s="173"/>
      <c r="I33" s="174"/>
      <c r="J33" s="172" t="str">
        <f>'USULAN &amp; PERBANDINGAN'!H5</f>
        <v>5% untuk lightweighting, structural engineering, crashworthiness, durability dan advanced material.</v>
      </c>
      <c r="K33" s="173"/>
      <c r="L33" s="173"/>
      <c r="M33" s="173"/>
      <c r="N33" s="174"/>
      <c r="O33" s="32"/>
      <c r="P33" s="32"/>
      <c r="Q33" s="32"/>
      <c r="R33" s="32"/>
      <c r="S33" s="32"/>
      <c r="T33" s="32"/>
      <c r="U33" s="32"/>
      <c r="V33" s="32"/>
      <c r="W33" s="32"/>
      <c r="X33" s="32"/>
      <c r="Y33" s="32"/>
      <c r="Z33" s="32"/>
    </row>
    <row r="34" spans="1:26" ht="15.75" customHeight="1" x14ac:dyDescent="0.25">
      <c r="A34" s="175" t="str">
        <f>'USULAN &amp; PERBANDINGAN'!B6</f>
        <v>Manufaktur &amp; Perakitan</v>
      </c>
      <c r="B34" s="176"/>
      <c r="C34" s="176"/>
      <c r="D34" s="176"/>
      <c r="E34" s="175" t="str">
        <f>'USULAN &amp; PERBANDINGAN'!F6</f>
        <v>Menjadikan fase CBU sebagai transisi menuju pendalaman manufaktur domestik. Dukungan dikaitkan dengan investasi, produksi, TKDN, supplier localization, transfer teknologi, tenaga kerja, R&amp;D dan ekspor.</v>
      </c>
      <c r="F34" s="176"/>
      <c r="G34" s="176"/>
      <c r="H34" s="176"/>
      <c r="I34" s="176"/>
      <c r="J34" s="175" t="str">
        <f>'USULAN &amp; PERBANDINGAN'!H6</f>
        <v>15% untuk design engineering, process engineering, automation, quality system, manufacturing technology dan production digitalization.</v>
      </c>
      <c r="K34" s="176"/>
      <c r="L34" s="176"/>
      <c r="M34" s="176"/>
      <c r="N34" s="176"/>
      <c r="O34" s="32"/>
      <c r="P34" s="32"/>
      <c r="Q34" s="32"/>
      <c r="R34" s="32"/>
      <c r="S34" s="32"/>
      <c r="T34" s="32"/>
      <c r="U34" s="32"/>
      <c r="V34" s="32"/>
      <c r="W34" s="32"/>
      <c r="X34" s="32"/>
      <c r="Y34" s="32"/>
      <c r="Z34" s="32"/>
    </row>
    <row r="35" spans="1:26" ht="15.75" customHeight="1" x14ac:dyDescent="0.25">
      <c r="A35" s="172" t="str">
        <f>'USULAN &amp; PERBANDINGAN'!B7</f>
        <v>Sertifikasi &amp; Keselamatan Kendaraan</v>
      </c>
      <c r="B35" s="173"/>
      <c r="C35" s="173"/>
      <c r="D35" s="174"/>
      <c r="E35" s="172" t="str">
        <f>'USULAN &amp; PERBANDINGAN'!F7</f>
        <v>Memperluas assurance framework untuk EV dan software-defined vehicle, termasuk battery safety, functional safety, cybersecurity, OTA/software validation, SOH dan digital vehicle record.</v>
      </c>
      <c r="F35" s="173"/>
      <c r="G35" s="173"/>
      <c r="H35" s="173"/>
      <c r="I35" s="174"/>
      <c r="J35" s="172" t="str">
        <f>'USULAN &amp; PERBANDINGAN'!H7</f>
        <v>8% untuk testing/certification technology, battery safety, functional safety, cybersecurity, software validation dan interoperability.</v>
      </c>
      <c r="K35" s="173"/>
      <c r="L35" s="173"/>
      <c r="M35" s="173"/>
      <c r="N35" s="174"/>
      <c r="O35" s="32"/>
      <c r="P35" s="32"/>
      <c r="Q35" s="32"/>
      <c r="R35" s="32"/>
      <c r="S35" s="32"/>
      <c r="T35" s="32"/>
      <c r="U35" s="32"/>
      <c r="V35" s="32"/>
      <c r="W35" s="32"/>
      <c r="X35" s="32"/>
      <c r="Y35" s="32"/>
      <c r="Z35" s="32"/>
    </row>
    <row r="36" spans="1:26" ht="15.75" customHeight="1" x14ac:dyDescent="0.25">
      <c r="A36" s="175" t="str">
        <f>'USULAN &amp; PERBANDINGAN'!B8</f>
        <v>Infrastruktur Pengisian &amp; Ketenagalistrikan</v>
      </c>
      <c r="B36" s="176"/>
      <c r="C36" s="176"/>
      <c r="D36" s="176"/>
      <c r="E36" s="175" t="str">
        <f>'USULAN &amp; PERBANDINGAN'!F8</f>
        <v>Mengubah charging infrastructure menjadi integrated charging ecosystem: interoperability, roaming/payment, fast &amp; ultrafast charging, load management, smart charging, renewable integration dan V2G.</v>
      </c>
      <c r="F36" s="176"/>
      <c r="G36" s="176"/>
      <c r="H36" s="176"/>
      <c r="I36" s="176"/>
      <c r="J36" s="175" t="str">
        <f>'USULAN &amp; PERBANDINGAN'!H8</f>
        <v>7% untuk smart charging, load management, V2G, grid integration, renewable-powered charging dan charging interoperability.</v>
      </c>
      <c r="K36" s="176"/>
      <c r="L36" s="176"/>
      <c r="M36" s="176"/>
      <c r="N36" s="176"/>
      <c r="O36" s="32"/>
      <c r="P36" s="32"/>
      <c r="Q36" s="32"/>
      <c r="R36" s="32"/>
      <c r="S36" s="32"/>
      <c r="T36" s="32"/>
      <c r="U36" s="32"/>
      <c r="V36" s="32"/>
      <c r="W36" s="32"/>
      <c r="X36" s="32"/>
      <c r="Y36" s="32"/>
      <c r="Z36" s="32"/>
    </row>
    <row r="37" spans="1:26" ht="15.75" customHeight="1" x14ac:dyDescent="0.25">
      <c r="A37" s="172" t="str">
        <f>'USULAN &amp; PERBANDINGAN'!B9</f>
        <v>Konektivitas &amp; Digital</v>
      </c>
      <c r="B37" s="173"/>
      <c r="C37" s="173"/>
      <c r="D37" s="174"/>
      <c r="E37" s="172" t="str">
        <f>'USULAN &amp; PERBANDINGAN'!F9</f>
        <v>Menambahkan digital/connected vehicle sebagai bagian formal ekosistem KBLBB, meliputi TCU/IoT, GPS/4G/5G, vehicle data, cybersecurity, OTA, digital vehicle record dan koneksi dengan battery passport.</v>
      </c>
      <c r="F37" s="173"/>
      <c r="G37" s="173"/>
      <c r="H37" s="173"/>
      <c r="I37" s="174"/>
      <c r="J37" s="172" t="str">
        <f>'USULAN &amp; PERBANDINGAN'!H9</f>
        <v>5% untuk vehicle data architecture, cybersecurity, OTA, telematics, AI/analytics dan digital records.</v>
      </c>
      <c r="K37" s="173"/>
      <c r="L37" s="173"/>
      <c r="M37" s="173"/>
      <c r="N37" s="174"/>
      <c r="O37" s="32"/>
      <c r="P37" s="32"/>
      <c r="Q37" s="32"/>
      <c r="R37" s="32"/>
      <c r="S37" s="32"/>
      <c r="T37" s="32"/>
      <c r="U37" s="32"/>
      <c r="V37" s="32"/>
      <c r="W37" s="32"/>
      <c r="X37" s="32"/>
      <c r="Y37" s="32"/>
      <c r="Z37" s="32"/>
    </row>
    <row r="38" spans="1:26" ht="15.75" customHeight="1" x14ac:dyDescent="0.25">
      <c r="A38" s="175" t="str">
        <f>'USULAN &amp; PERBANDINGAN'!B10</f>
        <v xml:space="preserve"> Fiskal, Perdagangan &amp; Pembiayaan</v>
      </c>
      <c r="B38" s="176"/>
      <c r="C38" s="176"/>
      <c r="D38" s="176"/>
      <c r="E38" s="175" t="str">
        <f>'USULAN &amp; PERBANDINGAN'!F10</f>
        <v>Membentuk performance-based incentive framework: dukungan dikaitkan dengan TKDN, investasi, produksi, supplier lokal, tenaga kerja, R&amp;D, ekspor dan kontribusi emisi; termasuk milestone, monitoring dan exit strategy.</v>
      </c>
      <c r="F38" s="176"/>
      <c r="G38" s="176"/>
      <c r="H38" s="176"/>
      <c r="I38" s="176"/>
      <c r="J38" s="175" t="str">
        <f>'USULAN &amp; PERBANDINGAN'!H10</f>
        <v>7% untuk matching fund, applied R&amp;D, technology adoption, commercialization dan industrial research.</v>
      </c>
      <c r="K38" s="176"/>
      <c r="L38" s="176"/>
      <c r="M38" s="176"/>
      <c r="N38" s="176"/>
      <c r="O38" s="32"/>
      <c r="P38" s="32"/>
      <c r="Q38" s="32"/>
      <c r="R38" s="32"/>
      <c r="S38" s="32"/>
      <c r="T38" s="32"/>
      <c r="U38" s="32"/>
      <c r="V38" s="32"/>
      <c r="W38" s="32"/>
      <c r="X38" s="32"/>
      <c r="Y38" s="32"/>
      <c r="Z38" s="32"/>
    </row>
    <row r="39" spans="1:26" ht="15.75" customHeight="1" x14ac:dyDescent="0.25">
      <c r="A39" s="172" t="str">
        <f>'USULAN &amp; PERBANDINGAN'!B11</f>
        <v>Lingkungan &amp; Ekonomi Sirkular</v>
      </c>
      <c r="B39" s="173"/>
      <c r="C39" s="173"/>
      <c r="D39" s="174"/>
      <c r="E39" s="172" t="str">
        <f>'USULAN &amp; PERBANDINGAN'!F11</f>
        <v>Membangun battery circular economy framework, termasuk producer responsibility, collection, traceability, diagnosis, safe dismantling, second-life, recycling, recovery dan material recovery.</v>
      </c>
      <c r="F39" s="173"/>
      <c r="G39" s="173"/>
      <c r="H39" s="173"/>
      <c r="I39" s="174"/>
      <c r="J39" s="172" t="str">
        <f>'USULAN &amp; PERBANDINGAN'!H11</f>
        <v>3% untuk second-life, recycling efficiency, safe dismantling, material recovery dan circular design.</v>
      </c>
      <c r="K39" s="173"/>
      <c r="L39" s="173"/>
      <c r="M39" s="173"/>
      <c r="N39" s="174"/>
      <c r="O39" s="32"/>
      <c r="P39" s="32"/>
      <c r="Q39" s="32"/>
      <c r="R39" s="32"/>
      <c r="S39" s="32"/>
      <c r="T39" s="32"/>
      <c r="U39" s="32"/>
      <c r="V39" s="32"/>
      <c r="W39" s="32"/>
      <c r="X39" s="32"/>
      <c r="Y39" s="32"/>
      <c r="Z39" s="32"/>
    </row>
    <row r="40" spans="1:26" ht="15.75" customHeight="1" x14ac:dyDescent="0.25">
      <c r="A40" s="175" t="str">
        <f>'USULAN &amp; PERBANDINGAN'!B12</f>
        <v>Pertahanan &amp; Strategic Use Case</v>
      </c>
      <c r="B40" s="176"/>
      <c r="C40" s="176"/>
      <c r="D40" s="176"/>
      <c r="E40" s="175" t="str">
        <f>'USULAN &amp; PERBANDINGAN'!F12</f>
        <v>Membuka strategic/institutional pathway dalam ekosistem KBLBB, termasuk procurement, spesifikasi khusus, security requirement, lifecycle support dan keterlibatan industri strategis.</v>
      </c>
      <c r="F40" s="176"/>
      <c r="G40" s="176"/>
      <c r="H40" s="176"/>
      <c r="I40" s="176"/>
      <c r="J40" s="175" t="str">
        <f>'USULAN &amp; PERBANDINGAN'!H12</f>
        <v>3% untuk ruggedized EV, mission-specific battery/powertrain, secure communication, energy resilience dan defense-grade testing.</v>
      </c>
      <c r="K40" s="176"/>
      <c r="L40" s="176"/>
      <c r="M40" s="176"/>
      <c r="N40" s="176"/>
      <c r="O40" s="32"/>
      <c r="P40" s="32"/>
      <c r="Q40" s="32"/>
      <c r="R40" s="32"/>
      <c r="S40" s="32"/>
      <c r="T40" s="32"/>
      <c r="U40" s="32"/>
      <c r="V40" s="32"/>
      <c r="W40" s="32"/>
      <c r="X40" s="32"/>
      <c r="Y40" s="32"/>
      <c r="Z40" s="32"/>
    </row>
    <row r="41" spans="1:26" ht="15.75" customHeight="1" x14ac:dyDescent="0.25">
      <c r="A41" s="172" t="str">
        <f>'USULAN &amp; PERBANDINGAN'!B13</f>
        <v xml:space="preserve"> Program Strategis Nasional &amp; Kelembagaan Lintas Sektor</v>
      </c>
      <c r="B41" s="173"/>
      <c r="C41" s="173"/>
      <c r="D41" s="174"/>
      <c r="E41" s="172" t="str">
        <f>'USULAN &amp; PERBANDINGAN'!F13</f>
        <v>Membangun National EV Ecosystem Governance: single data, KPI dashboard, roadmap lintas K/L, funding alignment, monitoring-evaluation dan periodic policy review.</v>
      </c>
      <c r="F41" s="173"/>
      <c r="G41" s="173"/>
      <c r="H41" s="173"/>
      <c r="I41" s="174"/>
      <c r="J41" s="172" t="str">
        <f>'USULAN &amp; PERBANDINGAN'!H13</f>
        <v>10% untuk national R&amp;D portfolio, shared testing facility, technology readiness monitoring dan integrasi riset lintas kategori.</v>
      </c>
      <c r="K41" s="173"/>
      <c r="L41" s="173"/>
      <c r="M41" s="173"/>
      <c r="N41" s="174"/>
      <c r="O41" s="32"/>
      <c r="P41" s="32"/>
      <c r="Q41" s="32"/>
      <c r="R41" s="32"/>
      <c r="S41" s="32"/>
      <c r="T41" s="32"/>
      <c r="U41" s="32"/>
      <c r="V41" s="32"/>
      <c r="W41" s="32"/>
      <c r="X41" s="32"/>
      <c r="Y41" s="32"/>
      <c r="Z41" s="32"/>
    </row>
    <row r="42" spans="1:26" ht="19.5" customHeight="1" x14ac:dyDescent="0.2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9.5" customHeight="1" x14ac:dyDescent="0.2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9.5" customHeight="1" x14ac:dyDescent="0.25">
      <c r="A44" s="177" t="s">
        <v>770</v>
      </c>
      <c r="B44" s="178"/>
      <c r="C44" s="178"/>
      <c r="D44" s="178"/>
      <c r="E44" s="178"/>
      <c r="F44" s="178"/>
      <c r="G44" s="178"/>
      <c r="H44" s="178"/>
      <c r="I44" s="178"/>
      <c r="J44" s="178"/>
      <c r="K44" s="178"/>
      <c r="L44" s="178"/>
      <c r="M44" s="178"/>
      <c r="N44" s="179"/>
      <c r="O44" s="32"/>
      <c r="P44" s="32"/>
      <c r="Q44" s="32"/>
      <c r="R44" s="32"/>
      <c r="S44" s="32"/>
      <c r="T44" s="32"/>
      <c r="U44" s="32"/>
      <c r="V44" s="32"/>
      <c r="W44" s="32"/>
      <c r="X44" s="32"/>
      <c r="Y44" s="32"/>
      <c r="Z44" s="32"/>
    </row>
    <row r="45" spans="1:26" ht="19.5" customHeight="1" x14ac:dyDescent="0.25">
      <c r="A45" s="42" t="s">
        <v>771</v>
      </c>
      <c r="B45" s="42" t="s">
        <v>772</v>
      </c>
      <c r="C45" s="42" t="s">
        <v>773</v>
      </c>
      <c r="D45" s="42" t="s">
        <v>775</v>
      </c>
      <c r="E45" s="42" t="s">
        <v>776</v>
      </c>
      <c r="F45" s="42" t="s">
        <v>778</v>
      </c>
      <c r="G45" s="42" t="s">
        <v>779</v>
      </c>
      <c r="H45" s="32"/>
      <c r="I45" s="32"/>
      <c r="J45" s="32"/>
      <c r="K45" s="32"/>
      <c r="L45" s="32"/>
      <c r="M45" s="32"/>
      <c r="N45" s="32"/>
      <c r="O45" s="32"/>
      <c r="P45" s="32"/>
      <c r="Q45" s="32"/>
      <c r="R45" s="32"/>
      <c r="S45" s="32"/>
      <c r="T45" s="32"/>
      <c r="U45" s="32"/>
      <c r="V45" s="32"/>
      <c r="W45" s="32"/>
      <c r="X45" s="32"/>
      <c r="Y45" s="32"/>
      <c r="Z45" s="32"/>
    </row>
    <row r="46" spans="1:26" ht="37.5" customHeight="1" x14ac:dyDescent="0.25">
      <c r="A46" s="50">
        <f>IFERROR('DATABASE BERITA'!B2,"")</f>
        <v>46274</v>
      </c>
      <c r="B46" s="51" t="str">
        <f>IFERROR('DATABASE BERITA'!C2,"")</f>
        <v>Indonesia</v>
      </c>
      <c r="C46" s="51" t="str">
        <f>IFERROR('DATABASE BERITA'!D2,"")</f>
        <v>BKPM / Pemerintah</v>
      </c>
      <c r="D46" s="51" t="str">
        <f>IFERROR('DATABASE BERITA'!E2,"")</f>
        <v>ENABLERS</v>
      </c>
      <c r="E46" s="51" t="str">
        <f>IFERROR('DATABASE BERITA'!K2,"")</f>
        <v>Lokal</v>
      </c>
      <c r="F46" s="51" t="str">
        <f>IFERROR('DATABASE BERITA'!F2,"")</f>
        <v>Charging / Swapping</v>
      </c>
      <c r="G46" s="51" t="str">
        <f>IFERROR('DATABASE BERITA'!I2,"")</f>
        <v>ANTARA</v>
      </c>
      <c r="H46" s="32"/>
      <c r="I46" s="32"/>
      <c r="J46" s="32"/>
      <c r="K46" s="32"/>
      <c r="L46" s="32"/>
      <c r="M46" s="32"/>
      <c r="N46" s="32"/>
      <c r="O46" s="32"/>
      <c r="P46" s="32"/>
      <c r="Q46" s="32"/>
      <c r="R46" s="32"/>
      <c r="S46" s="32"/>
      <c r="T46" s="32"/>
      <c r="U46" s="32"/>
      <c r="V46" s="32"/>
      <c r="W46" s="32"/>
      <c r="X46" s="32"/>
      <c r="Y46" s="32"/>
      <c r="Z46" s="32"/>
    </row>
    <row r="47" spans="1:26" ht="15.75" customHeight="1" x14ac:dyDescent="0.25">
      <c r="A47" s="50">
        <f>IFERROR('DATABASE BERITA'!B3,"")</f>
        <v>46273</v>
      </c>
      <c r="B47" s="51" t="str">
        <f>IFERROR('DATABASE BERITA'!C3,"")</f>
        <v>Indonesia</v>
      </c>
      <c r="C47" s="51" t="str">
        <f>IFERROR('DATABASE BERITA'!D3,"")</f>
        <v>IBC / CATL</v>
      </c>
      <c r="D47" s="51" t="str">
        <f>IFERROR('DATABASE BERITA'!E3,"")</f>
        <v>VALUE CHAIN (HULU–MIDSTREAM–HILIR)</v>
      </c>
      <c r="E47" s="51" t="str">
        <f>IFERROR('DATABASE BERITA'!K3,"")</f>
        <v>MoLiNas</v>
      </c>
      <c r="F47" s="51" t="str">
        <f>IFERROR('DATABASE BERITA'!F3,"")</f>
        <v>HULU — Battery &amp; Components</v>
      </c>
      <c r="G47" s="52" t="str">
        <f>IFERROR('DATABASE BERITA'!I3,"")</f>
        <v>Bisnis.com</v>
      </c>
      <c r="H47" s="32"/>
      <c r="I47" s="32"/>
      <c r="J47" s="32"/>
      <c r="K47" s="32"/>
      <c r="L47" s="32"/>
      <c r="M47" s="32"/>
      <c r="N47" s="32"/>
      <c r="O47" s="32"/>
      <c r="P47" s="32"/>
      <c r="Q47" s="32"/>
      <c r="R47" s="32"/>
      <c r="S47" s="32"/>
      <c r="T47" s="32"/>
      <c r="U47" s="32"/>
      <c r="V47" s="32"/>
      <c r="W47" s="32"/>
      <c r="X47" s="32"/>
      <c r="Y47" s="32"/>
      <c r="Z47" s="32"/>
    </row>
    <row r="48" spans="1:26" ht="15.75" customHeight="1" x14ac:dyDescent="0.25">
      <c r="A48" s="50">
        <f>IFERROR('DATABASE BERITA'!B4,"")</f>
        <v>46270</v>
      </c>
      <c r="B48" s="51" t="str">
        <f>IFERROR('DATABASE BERITA'!C4,"")</f>
        <v>Indonesia</v>
      </c>
      <c r="C48" s="51" t="str">
        <f>IFERROR('DATABASE BERITA'!D4,"")</f>
        <v>Pemerintah / MoLiNas</v>
      </c>
      <c r="D48" s="51" t="str">
        <f>IFERROR('DATABASE BERITA'!E4,"")</f>
        <v>REGULATORY &amp; POLICY</v>
      </c>
      <c r="E48" s="51" t="str">
        <f>IFERROR('DATABASE BERITA'!K4,"")</f>
        <v>MoLiNas</v>
      </c>
      <c r="F48" s="51" t="str">
        <f>IFERROR('DATABASE BERITA'!F4,"")</f>
        <v>Regulasi, Kebijakan &amp; Insentif</v>
      </c>
      <c r="G48" s="51" t="str">
        <f>IFERROR('DATABASE BERITA'!I4,"")</f>
        <v>ITERA</v>
      </c>
      <c r="H48" s="32"/>
      <c r="I48" s="32"/>
      <c r="J48" s="32"/>
      <c r="K48" s="32"/>
      <c r="L48" s="32"/>
      <c r="M48" s="32"/>
      <c r="N48" s="32"/>
      <c r="O48" s="32"/>
      <c r="P48" s="32"/>
      <c r="Q48" s="32"/>
      <c r="R48" s="32"/>
      <c r="S48" s="32"/>
      <c r="T48" s="32"/>
      <c r="U48" s="32"/>
      <c r="V48" s="32"/>
      <c r="W48" s="32"/>
      <c r="X48" s="32"/>
      <c r="Y48" s="32"/>
      <c r="Z48" s="32"/>
    </row>
    <row r="49" spans="1:26" ht="15.75" customHeight="1" x14ac:dyDescent="0.25">
      <c r="A49" s="50">
        <f>IFERROR('DATABASE BERITA'!B5,"")</f>
        <v>46270</v>
      </c>
      <c r="B49" s="51" t="str">
        <f>IFERROR('DATABASE BERITA'!C5,"")</f>
        <v>Indonesia</v>
      </c>
      <c r="C49" s="51" t="str">
        <f>IFERROR('DATABASE BERITA'!D5,"")</f>
        <v>DPR RI / BYD</v>
      </c>
      <c r="D49" s="51" t="str">
        <f>IFERROR('DATABASE BERITA'!E5,"")</f>
        <v>REGULATORY &amp; POLICY</v>
      </c>
      <c r="E49" s="51" t="str">
        <f>IFERROR('DATABASE BERITA'!K5,"")</f>
        <v>Lokal</v>
      </c>
      <c r="F49" s="51" t="str">
        <f>IFERROR('DATABASE BERITA'!F5,"")</f>
        <v>TKDN &amp; Sertifikasi</v>
      </c>
      <c r="G49" s="51" t="str">
        <f>IFERROR('DATABASE BERITA'!I5,"")</f>
        <v>DPR RI</v>
      </c>
      <c r="H49" s="32"/>
      <c r="I49" s="32"/>
      <c r="J49" s="32"/>
      <c r="K49" s="32"/>
      <c r="L49" s="32"/>
      <c r="M49" s="32"/>
      <c r="N49" s="32"/>
      <c r="O49" s="32"/>
      <c r="P49" s="32"/>
      <c r="Q49" s="32"/>
      <c r="R49" s="32"/>
      <c r="S49" s="32"/>
      <c r="T49" s="32"/>
      <c r="U49" s="32"/>
      <c r="V49" s="32"/>
      <c r="W49" s="32"/>
      <c r="X49" s="32"/>
      <c r="Y49" s="32"/>
      <c r="Z49" s="32"/>
    </row>
    <row r="50" spans="1:26" ht="15.75" customHeight="1" x14ac:dyDescent="0.25">
      <c r="A50" s="50">
        <f>IFERROR('DATABASE BERITA'!B6,"")</f>
        <v>46270</v>
      </c>
      <c r="B50" s="51" t="str">
        <f>IFERROR('DATABASE BERITA'!C6,"")</f>
        <v>Indonesia</v>
      </c>
      <c r="C50" s="51" t="str">
        <f>IFERROR('DATABASE BERITA'!D6,"")</f>
        <v>BYD</v>
      </c>
      <c r="D50" s="51" t="str">
        <f>IFERROR('DATABASE BERITA'!E6,"")</f>
        <v>REGULATORY &amp; POLICY</v>
      </c>
      <c r="E50" s="51" t="str">
        <f>IFERROR('DATABASE BERITA'!K6,"")</f>
        <v>Lokal</v>
      </c>
      <c r="F50" s="51" t="str">
        <f>IFERROR('DATABASE BERITA'!F6,"")</f>
        <v>TKDN &amp; Sertifikasi</v>
      </c>
      <c r="G50" s="51" t="str">
        <f>IFERROR('DATABASE BERITA'!I6,"")</f>
        <v>OtoDream</v>
      </c>
      <c r="H50" s="32"/>
      <c r="I50" s="32"/>
      <c r="J50" s="32"/>
      <c r="K50" s="32"/>
      <c r="L50" s="32"/>
      <c r="M50" s="32"/>
      <c r="N50" s="32"/>
      <c r="O50" s="32"/>
      <c r="P50" s="32"/>
      <c r="Q50" s="32"/>
      <c r="R50" s="32"/>
      <c r="S50" s="32"/>
      <c r="T50" s="32"/>
      <c r="U50" s="32"/>
      <c r="V50" s="32"/>
      <c r="W50" s="32"/>
      <c r="X50" s="32"/>
      <c r="Y50" s="32"/>
      <c r="Z50" s="32"/>
    </row>
    <row r="51" spans="1:26" ht="19.5" customHeight="1" x14ac:dyDescent="0.2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9.5" customHeight="1" x14ac:dyDescent="0.2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9.5" customHeight="1" x14ac:dyDescent="0.25">
      <c r="A53" s="32"/>
      <c r="B53" s="32"/>
      <c r="C53" s="32"/>
      <c r="D53" s="32"/>
      <c r="E53" s="32"/>
      <c r="F53" s="32"/>
      <c r="G53" s="32"/>
      <c r="O53" s="32"/>
      <c r="P53" s="32"/>
      <c r="Q53" s="32"/>
      <c r="R53" s="32"/>
      <c r="S53" s="32"/>
      <c r="T53" s="32"/>
      <c r="U53" s="32"/>
      <c r="V53" s="32"/>
      <c r="W53" s="32"/>
      <c r="X53" s="32"/>
      <c r="Y53" s="32"/>
      <c r="Z53" s="32"/>
    </row>
    <row r="54" spans="1:26" ht="19.5" customHeight="1" x14ac:dyDescent="0.25">
      <c r="A54" s="32"/>
      <c r="B54" s="32"/>
      <c r="C54" s="32"/>
      <c r="D54" s="32"/>
      <c r="E54" s="32"/>
      <c r="F54" s="32"/>
      <c r="G54" s="32"/>
      <c r="O54" s="32"/>
      <c r="P54" s="32"/>
      <c r="Q54" s="32"/>
      <c r="R54" s="32"/>
      <c r="S54" s="32"/>
      <c r="T54" s="32"/>
      <c r="U54" s="32"/>
      <c r="V54" s="32"/>
      <c r="W54" s="32"/>
      <c r="X54" s="32"/>
      <c r="Y54" s="32"/>
      <c r="Z54" s="32"/>
    </row>
    <row r="55" spans="1:26" ht="19.5" customHeight="1" x14ac:dyDescent="0.25">
      <c r="A55" s="32"/>
      <c r="B55" s="32"/>
      <c r="C55" s="32"/>
      <c r="D55" s="32"/>
      <c r="E55" s="32"/>
      <c r="F55" s="32"/>
      <c r="G55" s="32"/>
      <c r="O55" s="32"/>
      <c r="P55" s="32"/>
      <c r="Q55" s="32"/>
      <c r="R55" s="32"/>
      <c r="S55" s="32"/>
      <c r="T55" s="32"/>
      <c r="U55" s="32"/>
      <c r="V55" s="32"/>
      <c r="W55" s="32"/>
      <c r="X55" s="32"/>
      <c r="Y55" s="32"/>
      <c r="Z55" s="32"/>
    </row>
    <row r="56" spans="1:26" ht="19.5" customHeight="1" x14ac:dyDescent="0.25">
      <c r="A56" s="32"/>
      <c r="B56" s="32"/>
      <c r="C56" s="32"/>
      <c r="D56" s="32"/>
      <c r="E56" s="32"/>
      <c r="F56" s="32"/>
      <c r="G56" s="32"/>
      <c r="O56" s="32"/>
      <c r="P56" s="32"/>
      <c r="Q56" s="32"/>
      <c r="R56" s="32"/>
      <c r="S56" s="32"/>
      <c r="T56" s="32"/>
      <c r="U56" s="32"/>
      <c r="V56" s="32"/>
      <c r="W56" s="32"/>
      <c r="X56" s="32"/>
      <c r="Y56" s="32"/>
      <c r="Z56" s="32"/>
    </row>
    <row r="57" spans="1:26" ht="19.5" customHeight="1" x14ac:dyDescent="0.25">
      <c r="A57" s="32"/>
      <c r="B57" s="32"/>
      <c r="C57" s="32"/>
      <c r="D57" s="32"/>
      <c r="E57" s="32"/>
      <c r="F57" s="32"/>
      <c r="G57" s="32"/>
      <c r="O57" s="32"/>
      <c r="P57" s="32"/>
      <c r="Q57" s="32"/>
      <c r="R57" s="32"/>
      <c r="S57" s="32"/>
      <c r="T57" s="32"/>
      <c r="U57" s="32"/>
      <c r="V57" s="32"/>
      <c r="W57" s="32"/>
      <c r="X57" s="32"/>
      <c r="Y57" s="32"/>
      <c r="Z57" s="32"/>
    </row>
    <row r="58" spans="1:26" ht="19.5" customHeight="1" x14ac:dyDescent="0.25">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9.5" customHeight="1" x14ac:dyDescent="0.25">
      <c r="A59" s="56"/>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5.75" customHeight="1" x14ac:dyDescent="0.25">
      <c r="A60" s="56"/>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5.75" customHeight="1" x14ac:dyDescent="0.25">
      <c r="A61" s="56"/>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5.75" customHeight="1" x14ac:dyDescent="0.25">
      <c r="A62" s="56"/>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5.75" customHeight="1"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5.75" customHeight="1"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5.75" customHeight="1"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5.75" customHeight="1"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5.75" customHeight="1"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5.75" customHeight="1"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5.75" customHeight="1"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5.75" customHeight="1"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5.75" customHeight="1"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5.75" customHeight="1"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5.75" customHeight="1"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5.75" customHeight="1"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5.75" customHeight="1"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5.75" customHeight="1"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5.75" customHeight="1"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5.75" customHeight="1"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5.75" customHeight="1"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5.75" customHeight="1" x14ac:dyDescent="0.25">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5.75" customHeight="1" x14ac:dyDescent="0.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5.75" customHeight="1" x14ac:dyDescent="0.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5.75" customHeight="1" x14ac:dyDescent="0.25">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5.75" customHeight="1" x14ac:dyDescent="0.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5.75" customHeight="1" x14ac:dyDescent="0.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5.75" customHeight="1" x14ac:dyDescent="0.25">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5.75" customHeight="1" x14ac:dyDescent="0.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5.75" customHeight="1" x14ac:dyDescent="0.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5.75" customHeight="1" x14ac:dyDescent="0.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5.75" customHeight="1" x14ac:dyDescent="0.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5.75" customHeight="1" x14ac:dyDescent="0.2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5.75" customHeight="1" x14ac:dyDescent="0.2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5.75" customHeight="1" x14ac:dyDescent="0.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5.75" customHeight="1" x14ac:dyDescent="0.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5.75" customHeight="1" x14ac:dyDescent="0.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5.75" customHeight="1" x14ac:dyDescent="0.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5.75" customHeight="1" x14ac:dyDescent="0.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5.75" customHeight="1" x14ac:dyDescent="0.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5.75" customHeight="1" x14ac:dyDescent="0.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5.75" customHeight="1" x14ac:dyDescent="0.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5.75" customHeight="1" x14ac:dyDescent="0.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5.75" customHeight="1" x14ac:dyDescent="0.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5.75" customHeight="1" x14ac:dyDescent="0.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5.75" customHeight="1" x14ac:dyDescent="0.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5.75" customHeight="1" x14ac:dyDescent="0.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5.75" customHeight="1" x14ac:dyDescent="0.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5.75" customHeight="1" x14ac:dyDescent="0.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5.75" customHeight="1" x14ac:dyDescent="0.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5.75" customHeight="1" x14ac:dyDescent="0.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5.75" customHeight="1" x14ac:dyDescent="0.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5.75" customHeight="1" x14ac:dyDescent="0.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5.75" customHeight="1" x14ac:dyDescent="0.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5.75" customHeight="1" x14ac:dyDescent="0.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5.75" customHeight="1" x14ac:dyDescent="0.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5.75" customHeight="1" x14ac:dyDescent="0.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5.75" customHeight="1" x14ac:dyDescent="0.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5.75" customHeight="1" x14ac:dyDescent="0.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5.75" customHeight="1" x14ac:dyDescent="0.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5.75" customHeight="1" x14ac:dyDescent="0.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5.75" customHeight="1" x14ac:dyDescent="0.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5.75" customHeight="1" x14ac:dyDescent="0.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5.75" customHeight="1" x14ac:dyDescent="0.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5.75" customHeight="1" x14ac:dyDescent="0.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5.75" customHeight="1" x14ac:dyDescent="0.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5.75" customHeight="1" x14ac:dyDescent="0.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5.75" customHeight="1" x14ac:dyDescent="0.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5.75" customHeight="1" x14ac:dyDescent="0.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5.75" customHeight="1" x14ac:dyDescent="0.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5.75" customHeight="1" x14ac:dyDescent="0.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5.75" customHeight="1" x14ac:dyDescent="0.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5.75" customHeight="1" x14ac:dyDescent="0.2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5.75" customHeight="1" x14ac:dyDescent="0.2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5.75" customHeight="1" x14ac:dyDescent="0.2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5.75" customHeight="1" x14ac:dyDescent="0.2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5.75" customHeight="1" x14ac:dyDescent="0.2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5.75" customHeight="1" x14ac:dyDescent="0.2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5.75" customHeight="1" x14ac:dyDescent="0.2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5.75" customHeight="1" x14ac:dyDescent="0.2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5.75" customHeight="1" x14ac:dyDescent="0.2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5.75" customHeight="1" x14ac:dyDescent="0.2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5.75" customHeight="1" x14ac:dyDescent="0.2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5.75" customHeight="1" x14ac:dyDescent="0.2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5.75" customHeight="1" x14ac:dyDescent="0.2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5.75" customHeight="1" x14ac:dyDescent="0.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5.75" customHeight="1" x14ac:dyDescent="0.2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5.75" customHeight="1" x14ac:dyDescent="0.2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5.75" customHeight="1" x14ac:dyDescent="0.2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5.75" customHeight="1" x14ac:dyDescent="0.2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5.75" customHeight="1" x14ac:dyDescent="0.2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5.75" customHeight="1" x14ac:dyDescent="0.2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5.75" customHeight="1" x14ac:dyDescent="0.2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5.75" customHeight="1"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5.75" customHeight="1" x14ac:dyDescent="0.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5.75" customHeight="1" x14ac:dyDescent="0.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5.75" customHeight="1" x14ac:dyDescent="0.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5.75" customHeight="1"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5.75" customHeight="1" x14ac:dyDescent="0.2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5.75" customHeight="1" x14ac:dyDescent="0.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5.75" customHeight="1" x14ac:dyDescent="0.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5.75" customHeight="1" x14ac:dyDescent="0.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5.75" customHeight="1" x14ac:dyDescent="0.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5.75" customHeight="1" x14ac:dyDescent="0.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5.75" customHeight="1" x14ac:dyDescent="0.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5.75" customHeight="1" x14ac:dyDescent="0.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5.75" customHeight="1"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5.75" customHeight="1" x14ac:dyDescent="0.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5.75" customHeight="1" x14ac:dyDescent="0.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5.75" customHeight="1"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5.75" customHeight="1" x14ac:dyDescent="0.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5.75" customHeight="1" x14ac:dyDescent="0.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5.75" customHeight="1" x14ac:dyDescent="0.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5.75" customHeight="1" x14ac:dyDescent="0.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5.75" customHeight="1" x14ac:dyDescent="0.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5.75" customHeight="1" x14ac:dyDescent="0.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5.75" customHeight="1" x14ac:dyDescent="0.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5.75" customHeight="1" x14ac:dyDescent="0.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5.75" customHeight="1" x14ac:dyDescent="0.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5.75" customHeight="1" x14ac:dyDescent="0.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5.75" customHeight="1" x14ac:dyDescent="0.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5.75" customHeight="1"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5.75" customHeight="1" x14ac:dyDescent="0.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5.75" customHeight="1" x14ac:dyDescent="0.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5.75" customHeight="1" x14ac:dyDescent="0.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5.75" customHeight="1" x14ac:dyDescent="0.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5.75" customHeight="1" x14ac:dyDescent="0.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5.75" customHeight="1" x14ac:dyDescent="0.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5.75" customHeight="1" x14ac:dyDescent="0.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5.75" customHeight="1" x14ac:dyDescent="0.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5.75" customHeight="1" x14ac:dyDescent="0.2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5.75" customHeight="1" x14ac:dyDescent="0.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5.75" customHeight="1" x14ac:dyDescent="0.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5.75" customHeight="1" x14ac:dyDescent="0.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5.75" customHeight="1" x14ac:dyDescent="0.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5.75" customHeight="1" x14ac:dyDescent="0.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5.75" customHeight="1" x14ac:dyDescent="0.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5.75" customHeight="1" x14ac:dyDescent="0.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5.75" customHeight="1" x14ac:dyDescent="0.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5.75" customHeight="1" x14ac:dyDescent="0.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5.75" customHeight="1" x14ac:dyDescent="0.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5.75" customHeight="1" x14ac:dyDescent="0.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5.75" customHeight="1" x14ac:dyDescent="0.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5.75" customHeight="1" x14ac:dyDescent="0.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5.75" customHeight="1" x14ac:dyDescent="0.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5.75" customHeight="1" x14ac:dyDescent="0.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5.75" customHeight="1" x14ac:dyDescent="0.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5.75" customHeight="1" x14ac:dyDescent="0.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5.75" customHeight="1" x14ac:dyDescent="0.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5.75" customHeight="1" x14ac:dyDescent="0.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5.75" customHeight="1" x14ac:dyDescent="0.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5.75" customHeight="1" x14ac:dyDescent="0.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5.75" customHeight="1" x14ac:dyDescent="0.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5.75" customHeight="1" x14ac:dyDescent="0.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5.75" customHeight="1" x14ac:dyDescent="0.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5.75" customHeight="1" x14ac:dyDescent="0.2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5.75" customHeight="1" x14ac:dyDescent="0.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5.75" customHeight="1" x14ac:dyDescent="0.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5.75" customHeight="1" x14ac:dyDescent="0.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5.75" customHeight="1" x14ac:dyDescent="0.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5.75" customHeight="1" x14ac:dyDescent="0.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5.75" customHeight="1" x14ac:dyDescent="0.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x14ac:dyDescent="0.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5.75" customHeight="1" x14ac:dyDescent="0.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5.75" customHeight="1" x14ac:dyDescent="0.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5.75" customHeight="1" x14ac:dyDescent="0.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5.75" customHeight="1" x14ac:dyDescent="0.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5.75" customHeight="1" x14ac:dyDescent="0.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5.75" customHeight="1" x14ac:dyDescent="0.2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5.75" customHeight="1"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5.75" customHeight="1" x14ac:dyDescent="0.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5.75" customHeight="1" x14ac:dyDescent="0.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5.75" customHeight="1" x14ac:dyDescent="0.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5.75" customHeight="1" x14ac:dyDescent="0.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5.75" customHeight="1" x14ac:dyDescent="0.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5.75" customHeight="1" x14ac:dyDescent="0.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5.75" customHeight="1" x14ac:dyDescent="0.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5.75" customHeight="1" x14ac:dyDescent="0.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5.75" customHeight="1" x14ac:dyDescent="0.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5.75" customHeight="1" x14ac:dyDescent="0.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5.75" customHeight="1" x14ac:dyDescent="0.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5.75" customHeight="1" x14ac:dyDescent="0.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5.75" customHeight="1" x14ac:dyDescent="0.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5.75" customHeight="1" x14ac:dyDescent="0.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5.75" customHeight="1" x14ac:dyDescent="0.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5.75" customHeight="1" x14ac:dyDescent="0.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5.75" customHeight="1"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5.75" customHeight="1" x14ac:dyDescent="0.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5.75" customHeight="1" x14ac:dyDescent="0.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5.75" customHeight="1" x14ac:dyDescent="0.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5.75" customHeight="1" x14ac:dyDescent="0.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5.75" customHeight="1" x14ac:dyDescent="0.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5.75" customHeight="1" x14ac:dyDescent="0.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5.75" customHeight="1" x14ac:dyDescent="0.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5.75" customHeight="1" x14ac:dyDescent="0.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5.75" customHeight="1" x14ac:dyDescent="0.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5.75" customHeight="1" x14ac:dyDescent="0.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5.75" customHeight="1" x14ac:dyDescent="0.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5.75" customHeight="1" x14ac:dyDescent="0.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5.75" customHeight="1" x14ac:dyDescent="0.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5.75" customHeight="1" x14ac:dyDescent="0.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5.75" customHeight="1" x14ac:dyDescent="0.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5.75" customHeight="1" x14ac:dyDescent="0.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5.75" customHeight="1" x14ac:dyDescent="0.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5.75" customHeight="1" x14ac:dyDescent="0.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5.75" customHeight="1" x14ac:dyDescent="0.2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5.75" customHeight="1" x14ac:dyDescent="0.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5.75" customHeight="1" x14ac:dyDescent="0.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5.75" customHeight="1" x14ac:dyDescent="0.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5.75" customHeight="1" x14ac:dyDescent="0.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5.75" customHeight="1" x14ac:dyDescent="0.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5.75" customHeight="1" x14ac:dyDescent="0.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5.75" customHeight="1" x14ac:dyDescent="0.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5.75" customHeight="1" x14ac:dyDescent="0.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5.75" customHeight="1" x14ac:dyDescent="0.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5.75" customHeight="1" x14ac:dyDescent="0.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5.75" customHeight="1" x14ac:dyDescent="0.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5.75" customHeight="1" x14ac:dyDescent="0.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5.75" customHeight="1" x14ac:dyDescent="0.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5.75" customHeight="1" x14ac:dyDescent="0.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5.75" customHeight="1" x14ac:dyDescent="0.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5.75" customHeight="1" x14ac:dyDescent="0.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5.75" customHeight="1" x14ac:dyDescent="0.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5.75" customHeight="1" x14ac:dyDescent="0.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5.75" customHeight="1" x14ac:dyDescent="0.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5.75" customHeight="1" x14ac:dyDescent="0.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5.75" customHeight="1" x14ac:dyDescent="0.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5.75" customHeight="1" x14ac:dyDescent="0.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5.75" customHeight="1" x14ac:dyDescent="0.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5.75" customHeight="1" x14ac:dyDescent="0.2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5.75" customHeight="1" x14ac:dyDescent="0.2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5.75" customHeight="1" x14ac:dyDescent="0.2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5.75" customHeight="1" x14ac:dyDescent="0.2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5.75" customHeight="1" x14ac:dyDescent="0.2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5.75" customHeight="1" x14ac:dyDescent="0.2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5.75" customHeight="1" x14ac:dyDescent="0.2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5.75" customHeight="1" x14ac:dyDescent="0.2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5.75" customHeight="1" x14ac:dyDescent="0.2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5.75" customHeight="1" x14ac:dyDescent="0.2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5.75" customHeight="1" x14ac:dyDescent="0.2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5.75" customHeight="1" x14ac:dyDescent="0.2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5.75" customHeight="1" x14ac:dyDescent="0.2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5.75" customHeight="1" x14ac:dyDescent="0.2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5.75" customHeight="1" x14ac:dyDescent="0.2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5.75" customHeight="1" x14ac:dyDescent="0.2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5.75" customHeight="1" x14ac:dyDescent="0.2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5.75" customHeight="1" x14ac:dyDescent="0.2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5.75" customHeight="1" x14ac:dyDescent="0.2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5.75" customHeight="1" x14ac:dyDescent="0.2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5.75" customHeight="1" x14ac:dyDescent="0.2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5.75" customHeight="1" x14ac:dyDescent="0.2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5.75" customHeight="1" x14ac:dyDescent="0.2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5.75" customHeight="1" x14ac:dyDescent="0.2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5.75" customHeight="1" x14ac:dyDescent="0.2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5.75" customHeight="1" x14ac:dyDescent="0.2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5.75" customHeight="1" x14ac:dyDescent="0.2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5.75" customHeight="1" x14ac:dyDescent="0.2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5.75" customHeight="1" x14ac:dyDescent="0.2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5.75" customHeight="1" x14ac:dyDescent="0.2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5.75" customHeight="1" x14ac:dyDescent="0.2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5.75" customHeight="1" x14ac:dyDescent="0.2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5.75" customHeight="1" x14ac:dyDescent="0.2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5.75" customHeight="1" x14ac:dyDescent="0.2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5.75" customHeight="1" x14ac:dyDescent="0.2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5.75" customHeight="1" x14ac:dyDescent="0.2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5.75" customHeight="1" x14ac:dyDescent="0.2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5.75" customHeight="1" x14ac:dyDescent="0.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5.75" customHeight="1" x14ac:dyDescent="0.2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5.75" customHeight="1" x14ac:dyDescent="0.2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5.75" customHeight="1" x14ac:dyDescent="0.2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5.75" customHeight="1" x14ac:dyDescent="0.2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5.75" customHeight="1" x14ac:dyDescent="0.2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5.75" customHeight="1" x14ac:dyDescent="0.2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5.75" customHeight="1" x14ac:dyDescent="0.2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5.75" customHeight="1" x14ac:dyDescent="0.2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5.75" customHeight="1" x14ac:dyDescent="0.2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5.75" customHeight="1" x14ac:dyDescent="0.2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5.75" customHeight="1" x14ac:dyDescent="0.2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5.75" customHeight="1" x14ac:dyDescent="0.2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5.75" customHeight="1" x14ac:dyDescent="0.2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5.75" customHeight="1" x14ac:dyDescent="0.2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5.75" customHeight="1" x14ac:dyDescent="0.2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5.75" customHeight="1" x14ac:dyDescent="0.2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5.75" customHeight="1" x14ac:dyDescent="0.2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5.75" customHeight="1" x14ac:dyDescent="0.2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5.75" customHeight="1" x14ac:dyDescent="0.2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5.75" customHeight="1" x14ac:dyDescent="0.2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5.75" customHeight="1" x14ac:dyDescent="0.2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5.75" customHeight="1" x14ac:dyDescent="0.2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5.75" customHeight="1" x14ac:dyDescent="0.2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5.75" customHeight="1" x14ac:dyDescent="0.2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5.75" customHeight="1" x14ac:dyDescent="0.2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5.75" customHeight="1" x14ac:dyDescent="0.2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5.75" customHeight="1" x14ac:dyDescent="0.2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5.75" customHeight="1" x14ac:dyDescent="0.2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5.75" customHeight="1" x14ac:dyDescent="0.2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5.75" customHeight="1" x14ac:dyDescent="0.2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5.75" customHeight="1" x14ac:dyDescent="0.2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5.75" customHeight="1" x14ac:dyDescent="0.2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5.75" customHeight="1" x14ac:dyDescent="0.2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5.75" customHeight="1" x14ac:dyDescent="0.2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5.75" customHeight="1" x14ac:dyDescent="0.2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5.75" customHeight="1" x14ac:dyDescent="0.2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5.75" customHeight="1" x14ac:dyDescent="0.2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5.75" customHeight="1" x14ac:dyDescent="0.2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5.75" customHeight="1" x14ac:dyDescent="0.2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5.75" customHeight="1" x14ac:dyDescent="0.2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5.75" customHeight="1" x14ac:dyDescent="0.2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5.75" customHeight="1" x14ac:dyDescent="0.2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5.75" customHeight="1" x14ac:dyDescent="0.2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5.75" customHeight="1" x14ac:dyDescent="0.2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5.75" customHeight="1" x14ac:dyDescent="0.2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5.75" customHeight="1" x14ac:dyDescent="0.2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5.75" customHeight="1" x14ac:dyDescent="0.2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5.75" customHeight="1" x14ac:dyDescent="0.2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5.75" customHeight="1" x14ac:dyDescent="0.2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5.75" customHeight="1" x14ac:dyDescent="0.2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5.75" customHeight="1" x14ac:dyDescent="0.2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5.75" customHeight="1" x14ac:dyDescent="0.2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5.75" customHeight="1" x14ac:dyDescent="0.2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5.75" customHeight="1" x14ac:dyDescent="0.2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5.75" customHeight="1" x14ac:dyDescent="0.2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5.75" customHeight="1" x14ac:dyDescent="0.2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5.75" customHeight="1" x14ac:dyDescent="0.2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5.75" customHeight="1" x14ac:dyDescent="0.2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5.75" customHeight="1" x14ac:dyDescent="0.2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5.75" customHeight="1" x14ac:dyDescent="0.2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5.75" customHeight="1" x14ac:dyDescent="0.2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5.75" customHeight="1" x14ac:dyDescent="0.2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5.75" customHeight="1" x14ac:dyDescent="0.2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5.75" customHeight="1" x14ac:dyDescent="0.2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5.75" customHeight="1" x14ac:dyDescent="0.2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5.75" customHeight="1" x14ac:dyDescent="0.2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5.75" customHeight="1" x14ac:dyDescent="0.2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5.75" customHeight="1" x14ac:dyDescent="0.2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5.75" customHeight="1" x14ac:dyDescent="0.2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5.75" customHeight="1" x14ac:dyDescent="0.2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5.75" customHeight="1" x14ac:dyDescent="0.2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5.75" customHeight="1" x14ac:dyDescent="0.2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5.75" customHeight="1" x14ac:dyDescent="0.2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5.75" customHeight="1" x14ac:dyDescent="0.2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5.75" customHeight="1" x14ac:dyDescent="0.2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5.75" customHeight="1" x14ac:dyDescent="0.2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5.75" customHeight="1" x14ac:dyDescent="0.2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5.75" customHeight="1" x14ac:dyDescent="0.2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5.75" customHeight="1" x14ac:dyDescent="0.2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5.75" customHeight="1" x14ac:dyDescent="0.2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5.75" customHeight="1" x14ac:dyDescent="0.2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5.75" customHeight="1" x14ac:dyDescent="0.2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5.75" customHeight="1" x14ac:dyDescent="0.2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5.75" customHeight="1" x14ac:dyDescent="0.2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5.75" customHeight="1" x14ac:dyDescent="0.2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5.75" customHeight="1" x14ac:dyDescent="0.2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5.75" customHeight="1" x14ac:dyDescent="0.2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5.75" customHeight="1" x14ac:dyDescent="0.2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5.75" customHeight="1" x14ac:dyDescent="0.2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5.75" customHeight="1" x14ac:dyDescent="0.2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5.75" customHeight="1" x14ac:dyDescent="0.2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5.75" customHeight="1" x14ac:dyDescent="0.2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5.75" customHeight="1" x14ac:dyDescent="0.2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5.75" customHeight="1" x14ac:dyDescent="0.2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5.75" customHeight="1" x14ac:dyDescent="0.2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5.75" customHeight="1" x14ac:dyDescent="0.2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5.75" customHeight="1" x14ac:dyDescent="0.2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5.75" customHeight="1" x14ac:dyDescent="0.2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5.75" customHeight="1" x14ac:dyDescent="0.2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5.75" customHeight="1" x14ac:dyDescent="0.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5.75" customHeight="1" x14ac:dyDescent="0.2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5.75" customHeight="1" x14ac:dyDescent="0.2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5.75" customHeight="1" x14ac:dyDescent="0.2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5.75" customHeight="1" x14ac:dyDescent="0.2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5.75" customHeight="1" x14ac:dyDescent="0.2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5.75" customHeight="1" x14ac:dyDescent="0.2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5.75" customHeight="1" x14ac:dyDescent="0.2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5.75" customHeight="1" x14ac:dyDescent="0.2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5.75" customHeight="1" x14ac:dyDescent="0.2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5.75" customHeight="1" x14ac:dyDescent="0.2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5.75" customHeight="1" x14ac:dyDescent="0.2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5.75" customHeight="1" x14ac:dyDescent="0.2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5.75" customHeight="1" x14ac:dyDescent="0.2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5.75" customHeight="1" x14ac:dyDescent="0.2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5.75" customHeight="1" x14ac:dyDescent="0.2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5.75" customHeight="1" x14ac:dyDescent="0.2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5.75" customHeight="1" x14ac:dyDescent="0.2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5.75" customHeight="1" x14ac:dyDescent="0.2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5.75" customHeight="1" x14ac:dyDescent="0.2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5.75" customHeight="1" x14ac:dyDescent="0.2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5.75" customHeight="1" x14ac:dyDescent="0.2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5.75" customHeight="1" x14ac:dyDescent="0.2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5.75" customHeight="1" x14ac:dyDescent="0.2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5.75" customHeight="1" x14ac:dyDescent="0.2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5.75" customHeight="1" x14ac:dyDescent="0.2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5.75" customHeight="1" x14ac:dyDescent="0.2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5.75" customHeight="1" x14ac:dyDescent="0.2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5.75" customHeight="1" x14ac:dyDescent="0.2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5.75" customHeight="1" x14ac:dyDescent="0.2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5.75" customHeight="1" x14ac:dyDescent="0.2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5.75" customHeight="1" x14ac:dyDescent="0.2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5.75" customHeight="1" x14ac:dyDescent="0.2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5.75" customHeight="1" x14ac:dyDescent="0.2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5.75" customHeight="1" x14ac:dyDescent="0.2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5.75" customHeight="1" x14ac:dyDescent="0.2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5.75" customHeight="1" x14ac:dyDescent="0.2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5.75" customHeight="1" x14ac:dyDescent="0.2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5.75" customHeight="1" x14ac:dyDescent="0.2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5.75" customHeight="1" x14ac:dyDescent="0.2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5.75" customHeight="1" x14ac:dyDescent="0.2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5.75" customHeight="1" x14ac:dyDescent="0.2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5.75" customHeight="1" x14ac:dyDescent="0.2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5.75" customHeight="1" x14ac:dyDescent="0.2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5.75" customHeight="1" x14ac:dyDescent="0.2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5.75" customHeight="1" x14ac:dyDescent="0.2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5.75" customHeight="1" x14ac:dyDescent="0.2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5.75" customHeight="1" x14ac:dyDescent="0.2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5.75" customHeight="1" x14ac:dyDescent="0.2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5.75" customHeight="1" x14ac:dyDescent="0.2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5.75" customHeight="1" x14ac:dyDescent="0.2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5.75" customHeight="1" x14ac:dyDescent="0.2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5.75" customHeight="1" x14ac:dyDescent="0.2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5.75" customHeight="1" x14ac:dyDescent="0.2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5.75" customHeight="1" x14ac:dyDescent="0.2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5.75" customHeight="1" x14ac:dyDescent="0.2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5.75" customHeight="1" x14ac:dyDescent="0.2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5.75" customHeight="1" x14ac:dyDescent="0.2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5.75" customHeight="1" x14ac:dyDescent="0.2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5.75" customHeight="1" x14ac:dyDescent="0.2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5.75" customHeight="1" x14ac:dyDescent="0.2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5.75" customHeight="1" x14ac:dyDescent="0.2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5.75" customHeight="1" x14ac:dyDescent="0.2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5.75" customHeight="1" x14ac:dyDescent="0.2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5.75" customHeight="1" x14ac:dyDescent="0.2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5.75" customHeight="1" x14ac:dyDescent="0.2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5.75" customHeight="1" x14ac:dyDescent="0.2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5.75" customHeight="1" x14ac:dyDescent="0.2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5.75" customHeight="1" x14ac:dyDescent="0.2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5.75" customHeight="1" x14ac:dyDescent="0.2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5.75" customHeight="1" x14ac:dyDescent="0.2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5.75" customHeight="1" x14ac:dyDescent="0.2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5.75" customHeight="1" x14ac:dyDescent="0.2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5.75" customHeight="1" x14ac:dyDescent="0.2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5.75" customHeight="1" x14ac:dyDescent="0.2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5.75" customHeight="1" x14ac:dyDescent="0.2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5.75" customHeight="1" x14ac:dyDescent="0.2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5.75" customHeight="1" x14ac:dyDescent="0.2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5.75" customHeight="1" x14ac:dyDescent="0.2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5.75" customHeight="1" x14ac:dyDescent="0.2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5.75" customHeight="1" x14ac:dyDescent="0.2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5.75" customHeight="1" x14ac:dyDescent="0.2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5.75" customHeight="1" x14ac:dyDescent="0.2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5.75" customHeight="1" x14ac:dyDescent="0.2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5.75" customHeight="1" x14ac:dyDescent="0.2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5.75" customHeight="1" x14ac:dyDescent="0.2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5.75" customHeight="1" x14ac:dyDescent="0.2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5.75" customHeight="1" x14ac:dyDescent="0.2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5.75" customHeight="1" x14ac:dyDescent="0.2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5.75" customHeight="1" x14ac:dyDescent="0.2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5.75" customHeight="1" x14ac:dyDescent="0.2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5.75" customHeight="1" x14ac:dyDescent="0.2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5.75" customHeight="1" x14ac:dyDescent="0.2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5.75" customHeight="1" x14ac:dyDescent="0.2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5.75" customHeight="1" x14ac:dyDescent="0.2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5.75" customHeight="1" x14ac:dyDescent="0.2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5.75" customHeight="1" x14ac:dyDescent="0.2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5.75" customHeight="1" x14ac:dyDescent="0.2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5.75" customHeight="1" x14ac:dyDescent="0.2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5.75" customHeight="1" x14ac:dyDescent="0.2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5.75" customHeight="1" x14ac:dyDescent="0.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5.75" customHeight="1" x14ac:dyDescent="0.2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5.75" customHeight="1" x14ac:dyDescent="0.2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5.75" customHeight="1" x14ac:dyDescent="0.2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5.75" customHeight="1" x14ac:dyDescent="0.2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5.75" customHeight="1" x14ac:dyDescent="0.2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5.75" customHeight="1" x14ac:dyDescent="0.2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5.75" customHeight="1" x14ac:dyDescent="0.2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5.75" customHeight="1" x14ac:dyDescent="0.2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5.75" customHeight="1" x14ac:dyDescent="0.2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5.75" customHeight="1" x14ac:dyDescent="0.2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5.75" customHeight="1" x14ac:dyDescent="0.2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5.75" customHeight="1" x14ac:dyDescent="0.2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5.75" customHeight="1" x14ac:dyDescent="0.2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5.75" customHeight="1" x14ac:dyDescent="0.2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5.75" customHeight="1" x14ac:dyDescent="0.2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5.75" customHeight="1" x14ac:dyDescent="0.2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5.75" customHeight="1" x14ac:dyDescent="0.2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5.75" customHeight="1" x14ac:dyDescent="0.2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5.75" customHeight="1" x14ac:dyDescent="0.2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5.75" customHeight="1" x14ac:dyDescent="0.2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5.75" customHeight="1" x14ac:dyDescent="0.2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5.75" customHeight="1" x14ac:dyDescent="0.2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5.75" customHeight="1" x14ac:dyDescent="0.2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5.75" customHeight="1" x14ac:dyDescent="0.2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5.75" customHeight="1" x14ac:dyDescent="0.2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5.75" customHeight="1" x14ac:dyDescent="0.2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5.75" customHeight="1" x14ac:dyDescent="0.2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5.75" customHeight="1" x14ac:dyDescent="0.2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5.75" customHeight="1" x14ac:dyDescent="0.2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5.75" customHeight="1" x14ac:dyDescent="0.2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5.75" customHeight="1" x14ac:dyDescent="0.2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5.75" customHeight="1" x14ac:dyDescent="0.2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5.75" customHeight="1" x14ac:dyDescent="0.2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5.75" customHeight="1" x14ac:dyDescent="0.2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5.75" customHeight="1" x14ac:dyDescent="0.2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5.75" customHeight="1" x14ac:dyDescent="0.2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5.75" customHeight="1" x14ac:dyDescent="0.2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5.75" customHeight="1" x14ac:dyDescent="0.2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5.75" customHeight="1" x14ac:dyDescent="0.2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5.75" customHeight="1" x14ac:dyDescent="0.2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5.75" customHeight="1" x14ac:dyDescent="0.2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5.75" customHeight="1" x14ac:dyDescent="0.2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5.75" customHeight="1" x14ac:dyDescent="0.2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5.75" customHeight="1" x14ac:dyDescent="0.2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5.75" customHeight="1" x14ac:dyDescent="0.2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5.75" customHeight="1" x14ac:dyDescent="0.2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5.75" customHeight="1" x14ac:dyDescent="0.2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5.75" customHeight="1" x14ac:dyDescent="0.2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5.75" customHeight="1" x14ac:dyDescent="0.2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5.75" customHeight="1" x14ac:dyDescent="0.2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5.75" customHeight="1" x14ac:dyDescent="0.2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5.75" customHeight="1" x14ac:dyDescent="0.2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5.75" customHeight="1" x14ac:dyDescent="0.2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5.75" customHeight="1" x14ac:dyDescent="0.2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5.75" customHeight="1" x14ac:dyDescent="0.2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5.75" customHeight="1" x14ac:dyDescent="0.2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5.75" customHeight="1" x14ac:dyDescent="0.2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5.75" customHeight="1" x14ac:dyDescent="0.2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5.75" customHeight="1" x14ac:dyDescent="0.2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5.75" customHeight="1" x14ac:dyDescent="0.2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5.75" customHeight="1" x14ac:dyDescent="0.2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5.75" customHeight="1" x14ac:dyDescent="0.2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5.75" customHeight="1" x14ac:dyDescent="0.2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5.75" customHeight="1" x14ac:dyDescent="0.2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5.75" customHeight="1" x14ac:dyDescent="0.2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5.75" customHeight="1" x14ac:dyDescent="0.2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5.75" customHeight="1" x14ac:dyDescent="0.2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5.75" customHeight="1" x14ac:dyDescent="0.2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5.75" customHeight="1" x14ac:dyDescent="0.2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5.75" customHeight="1" x14ac:dyDescent="0.2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5.75" customHeight="1" x14ac:dyDescent="0.2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75" customHeight="1" x14ac:dyDescent="0.2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75" customHeight="1" x14ac:dyDescent="0.2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75" customHeight="1" x14ac:dyDescent="0.2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75" customHeight="1" x14ac:dyDescent="0.2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75" customHeight="1" x14ac:dyDescent="0.2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75" customHeight="1" x14ac:dyDescent="0.2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75" customHeight="1" x14ac:dyDescent="0.2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75" customHeight="1" x14ac:dyDescent="0.2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75" customHeight="1" x14ac:dyDescent="0.2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75" customHeight="1" x14ac:dyDescent="0.2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75" customHeight="1" x14ac:dyDescent="0.2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75" customHeight="1" x14ac:dyDescent="0.2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75" customHeight="1" x14ac:dyDescent="0.2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75" customHeight="1" x14ac:dyDescent="0.2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75" customHeight="1" x14ac:dyDescent="0.2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75" customHeight="1" x14ac:dyDescent="0.2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75" customHeight="1" x14ac:dyDescent="0.2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75" customHeight="1" x14ac:dyDescent="0.2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75" customHeight="1" x14ac:dyDescent="0.2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75" customHeight="1" x14ac:dyDescent="0.2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75" customHeight="1" x14ac:dyDescent="0.2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75" customHeight="1" x14ac:dyDescent="0.2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75" customHeight="1" x14ac:dyDescent="0.2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75" customHeight="1" x14ac:dyDescent="0.2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75" customHeight="1" x14ac:dyDescent="0.2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75" customHeight="1" x14ac:dyDescent="0.2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75" customHeight="1" x14ac:dyDescent="0.2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75" customHeight="1" x14ac:dyDescent="0.2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75" customHeight="1" x14ac:dyDescent="0.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75" customHeight="1" x14ac:dyDescent="0.2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75" customHeight="1" x14ac:dyDescent="0.2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75" customHeight="1" x14ac:dyDescent="0.2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75" customHeight="1" x14ac:dyDescent="0.2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75" customHeight="1" x14ac:dyDescent="0.2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75" customHeight="1" x14ac:dyDescent="0.2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75" customHeight="1" x14ac:dyDescent="0.2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75" customHeight="1" x14ac:dyDescent="0.2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75" customHeight="1" x14ac:dyDescent="0.2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75" customHeight="1" x14ac:dyDescent="0.2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75" customHeight="1" x14ac:dyDescent="0.2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75" customHeight="1" x14ac:dyDescent="0.2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75" customHeight="1" x14ac:dyDescent="0.2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75" customHeight="1" x14ac:dyDescent="0.2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75" customHeight="1" x14ac:dyDescent="0.2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75" customHeight="1" x14ac:dyDescent="0.2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75" customHeight="1" x14ac:dyDescent="0.2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75" customHeight="1" x14ac:dyDescent="0.2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75" customHeight="1" x14ac:dyDescent="0.2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75" customHeight="1" x14ac:dyDescent="0.2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75" customHeight="1" x14ac:dyDescent="0.2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75" customHeight="1" x14ac:dyDescent="0.2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75" customHeight="1" x14ac:dyDescent="0.2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75" customHeight="1" x14ac:dyDescent="0.2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75" customHeight="1" x14ac:dyDescent="0.2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75" customHeight="1" x14ac:dyDescent="0.2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75" customHeight="1" x14ac:dyDescent="0.2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75" customHeight="1" x14ac:dyDescent="0.2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75" customHeight="1" x14ac:dyDescent="0.2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75" customHeight="1" x14ac:dyDescent="0.2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75" customHeight="1" x14ac:dyDescent="0.2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75" customHeight="1" x14ac:dyDescent="0.2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75" customHeight="1" x14ac:dyDescent="0.2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75" customHeight="1" x14ac:dyDescent="0.2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75" customHeight="1" x14ac:dyDescent="0.2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75" customHeight="1" x14ac:dyDescent="0.2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75" customHeight="1" x14ac:dyDescent="0.2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75" customHeight="1" x14ac:dyDescent="0.2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75" customHeight="1" x14ac:dyDescent="0.2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75" customHeight="1" x14ac:dyDescent="0.2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75" customHeight="1" x14ac:dyDescent="0.2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75" customHeight="1" x14ac:dyDescent="0.2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75" customHeight="1" x14ac:dyDescent="0.2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75" customHeight="1" x14ac:dyDescent="0.2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75" customHeight="1" x14ac:dyDescent="0.2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75" customHeight="1" x14ac:dyDescent="0.2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75" customHeight="1" x14ac:dyDescent="0.2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75" customHeight="1" x14ac:dyDescent="0.2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75" customHeight="1" x14ac:dyDescent="0.2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75" customHeight="1" x14ac:dyDescent="0.2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75" customHeight="1" x14ac:dyDescent="0.2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75" customHeight="1" x14ac:dyDescent="0.2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75" customHeight="1" x14ac:dyDescent="0.2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75" customHeight="1" x14ac:dyDescent="0.2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75" customHeight="1" x14ac:dyDescent="0.2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75" customHeight="1" x14ac:dyDescent="0.2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75" customHeight="1" x14ac:dyDescent="0.2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75" customHeight="1" x14ac:dyDescent="0.2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75" customHeight="1" x14ac:dyDescent="0.2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75" customHeight="1" x14ac:dyDescent="0.2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75" customHeight="1" x14ac:dyDescent="0.2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75" customHeight="1" x14ac:dyDescent="0.2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75" customHeight="1" x14ac:dyDescent="0.2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75" customHeight="1" x14ac:dyDescent="0.2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75" customHeight="1" x14ac:dyDescent="0.2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75" customHeight="1" x14ac:dyDescent="0.2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75" customHeight="1" x14ac:dyDescent="0.2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75" customHeight="1" x14ac:dyDescent="0.2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75" customHeight="1" x14ac:dyDescent="0.2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75" customHeight="1" x14ac:dyDescent="0.2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75" customHeight="1" x14ac:dyDescent="0.2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75" customHeight="1" x14ac:dyDescent="0.2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75" customHeight="1" x14ac:dyDescent="0.2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75" customHeight="1" x14ac:dyDescent="0.2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75" customHeight="1" x14ac:dyDescent="0.2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75" customHeight="1" x14ac:dyDescent="0.2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75" customHeight="1" x14ac:dyDescent="0.2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75" customHeight="1" x14ac:dyDescent="0.2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5.75" customHeight="1" x14ac:dyDescent="0.2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5.75" customHeight="1" x14ac:dyDescent="0.2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5.75" customHeight="1" x14ac:dyDescent="0.2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5.75" customHeight="1" x14ac:dyDescent="0.2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5.75" customHeight="1" x14ac:dyDescent="0.2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5.75" customHeight="1" x14ac:dyDescent="0.2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5.75" customHeight="1" x14ac:dyDescent="0.2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5.75" customHeight="1" x14ac:dyDescent="0.2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5.75" customHeight="1" x14ac:dyDescent="0.2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5.75" customHeight="1" x14ac:dyDescent="0.2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5.75" customHeight="1" x14ac:dyDescent="0.2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5.75" customHeight="1" x14ac:dyDescent="0.2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5.75" customHeight="1" x14ac:dyDescent="0.2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5.75" customHeight="1" x14ac:dyDescent="0.2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5.75" customHeight="1" x14ac:dyDescent="0.2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5.75" customHeight="1" x14ac:dyDescent="0.2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5.75" customHeight="1" x14ac:dyDescent="0.2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5.75" customHeight="1" x14ac:dyDescent="0.2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5.75" customHeight="1" x14ac:dyDescent="0.2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5.75" customHeight="1" x14ac:dyDescent="0.2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5.75" customHeight="1" x14ac:dyDescent="0.2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5.75" customHeight="1" x14ac:dyDescent="0.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5.75" customHeight="1" x14ac:dyDescent="0.2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5.75" customHeight="1" x14ac:dyDescent="0.2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5.75" customHeight="1" x14ac:dyDescent="0.2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5.75" customHeight="1" x14ac:dyDescent="0.2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5.75" customHeight="1" x14ac:dyDescent="0.2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5.75" customHeight="1" x14ac:dyDescent="0.2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5.75" customHeight="1" x14ac:dyDescent="0.2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5.75" customHeight="1" x14ac:dyDescent="0.2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5.75" customHeight="1" x14ac:dyDescent="0.2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5.75" customHeight="1" x14ac:dyDescent="0.2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5.75" customHeight="1" x14ac:dyDescent="0.2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5.75" customHeight="1" x14ac:dyDescent="0.2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5.75" customHeight="1" x14ac:dyDescent="0.2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5.75" customHeight="1" x14ac:dyDescent="0.2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5.75" customHeight="1" x14ac:dyDescent="0.2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5.75" customHeight="1" x14ac:dyDescent="0.2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5.75" customHeight="1" x14ac:dyDescent="0.2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5.75" customHeight="1" x14ac:dyDescent="0.2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5.75" customHeight="1" x14ac:dyDescent="0.2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5.75" customHeight="1" x14ac:dyDescent="0.2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5.75" customHeight="1" x14ac:dyDescent="0.2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5.75" customHeight="1" x14ac:dyDescent="0.2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5.75" customHeight="1" x14ac:dyDescent="0.2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5.75" customHeight="1" x14ac:dyDescent="0.2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5.75" customHeight="1" x14ac:dyDescent="0.2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5.75" customHeight="1" x14ac:dyDescent="0.2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5.75" customHeight="1" x14ac:dyDescent="0.2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5.75" customHeight="1" x14ac:dyDescent="0.2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5.75" customHeight="1" x14ac:dyDescent="0.2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5.75" customHeight="1" x14ac:dyDescent="0.2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5.75" customHeight="1" x14ac:dyDescent="0.2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5.75" customHeight="1" x14ac:dyDescent="0.2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5.75" customHeight="1" x14ac:dyDescent="0.2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5.75" customHeight="1" x14ac:dyDescent="0.2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5.75" customHeight="1" x14ac:dyDescent="0.2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5.75" customHeight="1" x14ac:dyDescent="0.2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5.75" customHeight="1" x14ac:dyDescent="0.2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5.75" customHeight="1" x14ac:dyDescent="0.2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5.75" customHeight="1" x14ac:dyDescent="0.2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5.75" customHeight="1" x14ac:dyDescent="0.2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5.75" customHeight="1" x14ac:dyDescent="0.2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5.75" customHeight="1" x14ac:dyDescent="0.2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5.75" customHeight="1" x14ac:dyDescent="0.2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5.75" customHeight="1" x14ac:dyDescent="0.2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5.75" customHeight="1" x14ac:dyDescent="0.2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5.75" customHeight="1" x14ac:dyDescent="0.2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5.75" customHeight="1" x14ac:dyDescent="0.2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5.75" customHeight="1" x14ac:dyDescent="0.2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5.75" customHeight="1" x14ac:dyDescent="0.2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5.75" customHeight="1" x14ac:dyDescent="0.2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5.75" customHeight="1" x14ac:dyDescent="0.2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5.75" customHeight="1" x14ac:dyDescent="0.2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5.75" customHeight="1" x14ac:dyDescent="0.2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5.75" customHeight="1" x14ac:dyDescent="0.2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5.75" customHeight="1" x14ac:dyDescent="0.2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5.75" customHeight="1" x14ac:dyDescent="0.2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5.75" customHeight="1" x14ac:dyDescent="0.2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5.75" customHeight="1" x14ac:dyDescent="0.2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5.75" customHeight="1" x14ac:dyDescent="0.2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5.75" customHeight="1" x14ac:dyDescent="0.2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5.75" customHeight="1" x14ac:dyDescent="0.2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5.75" customHeight="1" x14ac:dyDescent="0.2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5.75" customHeight="1" x14ac:dyDescent="0.2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5.75" customHeight="1" x14ac:dyDescent="0.2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5.75" customHeight="1" x14ac:dyDescent="0.2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5.75" customHeight="1" x14ac:dyDescent="0.2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5.75" customHeight="1" x14ac:dyDescent="0.2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5.75" customHeight="1" x14ac:dyDescent="0.2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5.75" customHeight="1" x14ac:dyDescent="0.2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5.75" customHeight="1" x14ac:dyDescent="0.2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5.75" customHeight="1" x14ac:dyDescent="0.2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5.75" customHeight="1" x14ac:dyDescent="0.2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5.75" customHeight="1" x14ac:dyDescent="0.2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5.75" customHeight="1" x14ac:dyDescent="0.2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5.75" customHeight="1" x14ac:dyDescent="0.2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5.75" customHeight="1" x14ac:dyDescent="0.2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5.75" customHeight="1" x14ac:dyDescent="0.2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5.75" customHeight="1" x14ac:dyDescent="0.2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5.75" customHeight="1" x14ac:dyDescent="0.2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5.75" customHeight="1" x14ac:dyDescent="0.2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5.75" customHeight="1" x14ac:dyDescent="0.2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5.75" customHeight="1" x14ac:dyDescent="0.2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5.75" customHeight="1" x14ac:dyDescent="0.2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5.75" customHeight="1" x14ac:dyDescent="0.2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5.75" customHeight="1" x14ac:dyDescent="0.2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5.75" customHeight="1" x14ac:dyDescent="0.2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5.75" customHeight="1" x14ac:dyDescent="0.2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5.75" customHeight="1" x14ac:dyDescent="0.2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5.75" customHeight="1" x14ac:dyDescent="0.2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5.75" customHeight="1" x14ac:dyDescent="0.2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5.75" customHeight="1" x14ac:dyDescent="0.2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5.75" customHeight="1" x14ac:dyDescent="0.2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5.75" customHeight="1" x14ac:dyDescent="0.2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5.75" customHeight="1" x14ac:dyDescent="0.2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5.75" customHeight="1" x14ac:dyDescent="0.2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5.75" customHeight="1" x14ac:dyDescent="0.2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5.75" customHeight="1" x14ac:dyDescent="0.2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5.75" customHeight="1" x14ac:dyDescent="0.2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5.75" customHeight="1" x14ac:dyDescent="0.2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5.75" customHeight="1" x14ac:dyDescent="0.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5.75" customHeight="1" x14ac:dyDescent="0.2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5.75" customHeight="1" x14ac:dyDescent="0.2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5.75" customHeight="1" x14ac:dyDescent="0.2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5.75" customHeight="1" x14ac:dyDescent="0.2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5.75" customHeight="1" x14ac:dyDescent="0.2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5.75" customHeight="1" x14ac:dyDescent="0.2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5.75" customHeight="1" x14ac:dyDescent="0.2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5.75" customHeight="1" x14ac:dyDescent="0.2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5.75" customHeight="1" x14ac:dyDescent="0.2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5.75" customHeight="1" x14ac:dyDescent="0.2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5.75" customHeight="1" x14ac:dyDescent="0.2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5.75" customHeight="1" x14ac:dyDescent="0.2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5.75" customHeight="1" x14ac:dyDescent="0.2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5.75" customHeight="1" x14ac:dyDescent="0.2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5.75" customHeight="1" x14ac:dyDescent="0.2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5.75" customHeight="1" x14ac:dyDescent="0.2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5.75" customHeight="1" x14ac:dyDescent="0.2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5.75" customHeight="1" x14ac:dyDescent="0.2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5.75" customHeight="1" x14ac:dyDescent="0.2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5.75" customHeight="1" x14ac:dyDescent="0.2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5.75" customHeight="1" x14ac:dyDescent="0.2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5.75" customHeight="1" x14ac:dyDescent="0.2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5.75" customHeight="1" x14ac:dyDescent="0.2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5.75" customHeight="1" x14ac:dyDescent="0.2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5.75" customHeight="1" x14ac:dyDescent="0.2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5.75" customHeight="1" x14ac:dyDescent="0.2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5.75" customHeight="1" x14ac:dyDescent="0.2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5.75" customHeight="1" x14ac:dyDescent="0.2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5.75" customHeight="1" x14ac:dyDescent="0.2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5.75" customHeight="1" x14ac:dyDescent="0.2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5.75" customHeight="1" x14ac:dyDescent="0.2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5.75" customHeight="1" x14ac:dyDescent="0.2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5.75" customHeight="1" x14ac:dyDescent="0.2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5.75" customHeight="1" x14ac:dyDescent="0.2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5.75" customHeight="1" x14ac:dyDescent="0.2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5.75" customHeight="1" x14ac:dyDescent="0.2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5.75" customHeight="1" x14ac:dyDescent="0.2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5.75" customHeight="1" x14ac:dyDescent="0.2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5.75" customHeight="1" x14ac:dyDescent="0.2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5.75" customHeight="1" x14ac:dyDescent="0.2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5.75" customHeight="1" x14ac:dyDescent="0.2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5.75" customHeight="1" x14ac:dyDescent="0.2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5.75" customHeight="1" x14ac:dyDescent="0.2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5.75" customHeight="1" x14ac:dyDescent="0.2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5.75" customHeight="1" x14ac:dyDescent="0.2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5.75" customHeight="1" x14ac:dyDescent="0.2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5.75" customHeight="1" x14ac:dyDescent="0.2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5.75" customHeight="1" x14ac:dyDescent="0.2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5.75" customHeight="1" x14ac:dyDescent="0.2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5.75" customHeight="1" x14ac:dyDescent="0.2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5.75" customHeight="1" x14ac:dyDescent="0.2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5.75" customHeight="1" x14ac:dyDescent="0.2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5.75" customHeight="1" x14ac:dyDescent="0.2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5.75" customHeight="1" x14ac:dyDescent="0.2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5.75" customHeight="1" x14ac:dyDescent="0.2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5.75" customHeight="1" x14ac:dyDescent="0.2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5.75" customHeight="1" x14ac:dyDescent="0.2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5.75" customHeight="1" x14ac:dyDescent="0.2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5.75" customHeight="1" x14ac:dyDescent="0.2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5.75" customHeight="1" x14ac:dyDescent="0.2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5.75" customHeight="1" x14ac:dyDescent="0.2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5.75" customHeight="1" x14ac:dyDescent="0.2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5.75" customHeight="1" x14ac:dyDescent="0.2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5.75" customHeight="1" x14ac:dyDescent="0.2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5.75" customHeight="1" x14ac:dyDescent="0.2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5.75" customHeight="1" x14ac:dyDescent="0.2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5.75" customHeight="1" x14ac:dyDescent="0.2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5.75" customHeight="1" x14ac:dyDescent="0.2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5.75" customHeight="1" x14ac:dyDescent="0.2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5.75" customHeight="1" x14ac:dyDescent="0.2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5.75" customHeight="1" x14ac:dyDescent="0.2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5.75" customHeight="1" x14ac:dyDescent="0.25">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5.75" customHeight="1" x14ac:dyDescent="0.25">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5.75" customHeight="1" x14ac:dyDescent="0.25">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5.75" customHeight="1" x14ac:dyDescent="0.25">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5.75" customHeight="1" x14ac:dyDescent="0.25">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5.75" customHeight="1" x14ac:dyDescent="0.25">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5.75" customHeight="1" x14ac:dyDescent="0.25">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5.75" customHeight="1" x14ac:dyDescent="0.25">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5.75" customHeight="1" x14ac:dyDescent="0.2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5.75" customHeight="1" x14ac:dyDescent="0.25">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5.75" customHeight="1" x14ac:dyDescent="0.25">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5.75" customHeight="1" x14ac:dyDescent="0.25">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5.75" customHeight="1" x14ac:dyDescent="0.25">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5.75" customHeight="1" x14ac:dyDescent="0.25">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5.75" customHeight="1" x14ac:dyDescent="0.25">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5.75" customHeight="1" x14ac:dyDescent="0.25">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5.75" customHeight="1" x14ac:dyDescent="0.25">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5.75" customHeight="1" x14ac:dyDescent="0.25">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5.75" customHeight="1" x14ac:dyDescent="0.2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5.75" customHeight="1" x14ac:dyDescent="0.25">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5.75" customHeight="1" x14ac:dyDescent="0.25">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5.75" customHeight="1" x14ac:dyDescent="0.25">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5.75" customHeight="1" x14ac:dyDescent="0.25">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5.75" customHeight="1" x14ac:dyDescent="0.25">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5.75" customHeight="1" x14ac:dyDescent="0.25">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5.75" customHeight="1" x14ac:dyDescent="0.25">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5.75" customHeight="1" x14ac:dyDescent="0.25">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5.75" customHeight="1" x14ac:dyDescent="0.25">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5.75" customHeight="1" x14ac:dyDescent="0.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5.75" customHeight="1" x14ac:dyDescent="0.25">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5.75" customHeight="1" x14ac:dyDescent="0.25">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5.75" customHeight="1" x14ac:dyDescent="0.25">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5.75" customHeight="1" x14ac:dyDescent="0.25">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5.75" customHeight="1" x14ac:dyDescent="0.25">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5.75" customHeight="1" x14ac:dyDescent="0.25">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5.75" customHeight="1" x14ac:dyDescent="0.25">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5.75" customHeight="1" x14ac:dyDescent="0.25">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5.75" customHeight="1" x14ac:dyDescent="0.25">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5.75" customHeight="1" x14ac:dyDescent="0.2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5.75" customHeight="1" x14ac:dyDescent="0.25">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5.75" customHeight="1" x14ac:dyDescent="0.25">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5.75" customHeight="1" x14ac:dyDescent="0.25">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5.75" customHeight="1" x14ac:dyDescent="0.25">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5.75" customHeight="1" x14ac:dyDescent="0.25">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5.75" customHeight="1" x14ac:dyDescent="0.25">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5.75" customHeight="1" x14ac:dyDescent="0.25">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5.75" customHeight="1" x14ac:dyDescent="0.25">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5.75" customHeight="1" x14ac:dyDescent="0.25">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5.75" customHeight="1" x14ac:dyDescent="0.2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5.75" customHeight="1" x14ac:dyDescent="0.25">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5.75" customHeight="1" x14ac:dyDescent="0.25">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5.75" customHeight="1" x14ac:dyDescent="0.25">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5.75" customHeight="1" x14ac:dyDescent="0.25">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5.75" customHeight="1" x14ac:dyDescent="0.25">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5.75" customHeight="1" x14ac:dyDescent="0.25">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5.75" customHeight="1" x14ac:dyDescent="0.25">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5.75" customHeight="1" x14ac:dyDescent="0.25">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5.75" customHeight="1" x14ac:dyDescent="0.25">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5.75" customHeight="1" x14ac:dyDescent="0.2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5.75" customHeight="1" x14ac:dyDescent="0.25">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5.75" customHeight="1" x14ac:dyDescent="0.25">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5.75" customHeight="1" x14ac:dyDescent="0.25">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5.75" customHeight="1" x14ac:dyDescent="0.25">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5.75" customHeight="1" x14ac:dyDescent="0.25">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5.75" customHeight="1" x14ac:dyDescent="0.25">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5.75" customHeight="1" x14ac:dyDescent="0.25">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5.75" customHeight="1" x14ac:dyDescent="0.25">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5.75" customHeight="1" x14ac:dyDescent="0.25">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5.75" customHeight="1" x14ac:dyDescent="0.2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5.75" customHeight="1" x14ac:dyDescent="0.25">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5.75" customHeight="1" x14ac:dyDescent="0.25">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5">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5.75" customHeight="1" x14ac:dyDescent="0.25">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5.75" customHeight="1" x14ac:dyDescent="0.25">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5.75" customHeight="1" x14ac:dyDescent="0.25">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5.75" customHeight="1" x14ac:dyDescent="0.25">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5.75" customHeight="1" x14ac:dyDescent="0.25">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5.75" customHeight="1" x14ac:dyDescent="0.25">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5.75" customHeight="1" x14ac:dyDescent="0.2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5.75" customHeight="1" x14ac:dyDescent="0.25">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5.75" customHeight="1" x14ac:dyDescent="0.25">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5.75" customHeight="1" x14ac:dyDescent="0.25">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5.75" customHeight="1" x14ac:dyDescent="0.25">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5.75" customHeight="1" x14ac:dyDescent="0.25">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5.75" customHeight="1" x14ac:dyDescent="0.25">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5.75" customHeight="1" x14ac:dyDescent="0.25">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5.75" customHeight="1" x14ac:dyDescent="0.25">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5.75" customHeight="1" x14ac:dyDescent="0.25">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5.75" customHeight="1" x14ac:dyDescent="0.2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5.75" customHeight="1" x14ac:dyDescent="0.25">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5.75" customHeight="1" x14ac:dyDescent="0.25">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5.75" customHeight="1" x14ac:dyDescent="0.25">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5.75" customHeight="1" x14ac:dyDescent="0.25">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5.75" customHeight="1" x14ac:dyDescent="0.25">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5.75" customHeight="1" x14ac:dyDescent="0.25">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5.75" customHeight="1" x14ac:dyDescent="0.25">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5.75" customHeight="1" x14ac:dyDescent="0.25">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5.75" customHeight="1" x14ac:dyDescent="0.25">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5.75" customHeight="1" x14ac:dyDescent="0.2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5.75" customHeight="1" x14ac:dyDescent="0.25">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5.75" customHeight="1" x14ac:dyDescent="0.25">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5.75" customHeight="1" x14ac:dyDescent="0.25">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5.75" customHeight="1" x14ac:dyDescent="0.25">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5.75" customHeight="1" x14ac:dyDescent="0.25">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57">
    <mergeCell ref="E36:I36"/>
    <mergeCell ref="J36:N36"/>
    <mergeCell ref="A34:D34"/>
    <mergeCell ref="E34:I34"/>
    <mergeCell ref="J34:N34"/>
    <mergeCell ref="A35:D35"/>
    <mergeCell ref="E35:I35"/>
    <mergeCell ref="J35:N35"/>
    <mergeCell ref="A36:D36"/>
    <mergeCell ref="A41:D41"/>
    <mergeCell ref="E41:I41"/>
    <mergeCell ref="J41:N41"/>
    <mergeCell ref="A44:N44"/>
    <mergeCell ref="A37:D37"/>
    <mergeCell ref="E37:I37"/>
    <mergeCell ref="J37:N37"/>
    <mergeCell ref="A38:D38"/>
    <mergeCell ref="E38:I38"/>
    <mergeCell ref="J38:N38"/>
    <mergeCell ref="A39:D39"/>
    <mergeCell ref="E39:I39"/>
    <mergeCell ref="J39:N39"/>
    <mergeCell ref="A40:D40"/>
    <mergeCell ref="E40:I40"/>
    <mergeCell ref="J40:N40"/>
    <mergeCell ref="M5:N6"/>
    <mergeCell ref="K8:N8"/>
    <mergeCell ref="A1:N1"/>
    <mergeCell ref="A2:N2"/>
    <mergeCell ref="A4:C4"/>
    <mergeCell ref="G4:I4"/>
    <mergeCell ref="J4:L4"/>
    <mergeCell ref="M4:N4"/>
    <mergeCell ref="A5:C6"/>
    <mergeCell ref="D5:D6"/>
    <mergeCell ref="E5:E6"/>
    <mergeCell ref="A8:F8"/>
    <mergeCell ref="F5:F6"/>
    <mergeCell ref="G5:I6"/>
    <mergeCell ref="G8:J8"/>
    <mergeCell ref="J5:L6"/>
    <mergeCell ref="A28:N28"/>
    <mergeCell ref="A29:D29"/>
    <mergeCell ref="E29:I29"/>
    <mergeCell ref="J29:N29"/>
    <mergeCell ref="A30:D30"/>
    <mergeCell ref="E30:I30"/>
    <mergeCell ref="J30:N30"/>
    <mergeCell ref="E33:I33"/>
    <mergeCell ref="J33:N33"/>
    <mergeCell ref="A31:D31"/>
    <mergeCell ref="E31:I31"/>
    <mergeCell ref="J31:N31"/>
    <mergeCell ref="A32:D32"/>
    <mergeCell ref="E32:I32"/>
    <mergeCell ref="J32:N32"/>
    <mergeCell ref="A33:D33"/>
  </mergeCells>
  <pageMargins left="0.75" right="0.75" top="1" bottom="1"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AT1007"/>
  <sheetViews>
    <sheetView showGridLines="0" tabSelected="1" zoomScale="70" zoomScaleNormal="70" workbookViewId="0">
      <pane xSplit="2" ySplit="5" topLeftCell="C36" activePane="bottomRight" state="frozen"/>
      <selection pane="topRight" activeCell="C1" sqref="C1"/>
      <selection pane="bottomLeft" activeCell="A6" sqref="A6"/>
      <selection pane="bottomRight" activeCell="AR21" sqref="AR21"/>
    </sheetView>
  </sheetViews>
  <sheetFormatPr defaultColWidth="14.42578125" defaultRowHeight="15" customHeight="1" x14ac:dyDescent="0.25"/>
  <cols>
    <col min="1" max="1" width="16.7109375" customWidth="1"/>
    <col min="2" max="2" width="33.7109375" customWidth="1"/>
    <col min="3" max="3" width="34" customWidth="1"/>
    <col min="4" max="4" width="10.7109375" customWidth="1"/>
    <col min="5" max="5" width="11" customWidth="1"/>
    <col min="6" max="6" width="17.28515625" customWidth="1"/>
    <col min="7" max="8" width="10.7109375" customWidth="1"/>
    <col min="9" max="9" width="10" customWidth="1"/>
    <col min="10" max="10" width="17.28515625" customWidth="1"/>
    <col min="11" max="11" width="38" customWidth="1"/>
    <col min="12" max="12" width="50" hidden="1" customWidth="1"/>
    <col min="13" max="13" width="50" customWidth="1"/>
    <col min="14" max="16" width="28" customWidth="1"/>
    <col min="17" max="17" width="36" customWidth="1"/>
    <col min="18" max="18" width="23.28515625" customWidth="1"/>
    <col min="19" max="19" width="42" customWidth="1"/>
    <col min="20" max="20" width="10.5703125" customWidth="1"/>
    <col min="21" max="21" width="16" customWidth="1"/>
    <col min="22" max="23" width="24" customWidth="1"/>
    <col min="24" max="24" width="43.7109375" customWidth="1"/>
    <col min="25" max="27" width="19" hidden="1" customWidth="1"/>
    <col min="28" max="41" width="19" customWidth="1"/>
    <col min="42" max="42" width="20.42578125" customWidth="1"/>
    <col min="43" max="43" width="15" style="157" bestFit="1" customWidth="1"/>
    <col min="44" max="44" width="20.140625" bestFit="1" customWidth="1"/>
    <col min="45" max="45" width="35.7109375" customWidth="1"/>
    <col min="46" max="46" width="19.28515625" style="157" bestFit="1" customWidth="1"/>
  </cols>
  <sheetData>
    <row r="1" spans="1:46" ht="15.75" x14ac:dyDescent="0.25">
      <c r="A1" s="242" t="s">
        <v>0</v>
      </c>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row>
    <row r="2" spans="1:46" ht="28.5" customHeight="1" x14ac:dyDescent="0.25">
      <c r="A2" s="6"/>
      <c r="B2" s="8"/>
      <c r="C2" s="8"/>
      <c r="D2" s="8"/>
      <c r="E2" s="8"/>
      <c r="F2" s="8"/>
      <c r="G2" s="8"/>
      <c r="H2" s="9"/>
      <c r="I2" s="8"/>
      <c r="J2" s="8"/>
      <c r="K2" s="8"/>
      <c r="L2" s="8"/>
      <c r="M2" s="8"/>
      <c r="N2" s="8"/>
      <c r="O2" s="8"/>
      <c r="P2" s="8"/>
      <c r="Q2" s="8"/>
      <c r="R2" s="9"/>
      <c r="S2" s="8"/>
      <c r="T2" s="9"/>
      <c r="U2" s="9"/>
      <c r="V2" s="9"/>
      <c r="W2" s="9"/>
      <c r="X2" s="9"/>
      <c r="Y2" s="8"/>
      <c r="Z2" s="159"/>
      <c r="AA2" s="160"/>
      <c r="AB2" s="202" t="s">
        <v>28</v>
      </c>
      <c r="AC2" s="203"/>
      <c r="AD2" s="203"/>
      <c r="AE2" s="203"/>
      <c r="AF2" s="203"/>
      <c r="AG2" s="203"/>
      <c r="AH2" s="203"/>
      <c r="AI2" s="203"/>
      <c r="AJ2" s="203"/>
      <c r="AK2" s="203"/>
      <c r="AL2" s="203"/>
      <c r="AM2" s="203"/>
      <c r="AN2" s="203"/>
      <c r="AO2" s="203"/>
      <c r="AP2" s="204" t="s">
        <v>1615</v>
      </c>
      <c r="AQ2" s="204"/>
      <c r="AR2" s="204"/>
      <c r="AS2" s="204"/>
      <c r="AT2" s="204"/>
    </row>
    <row r="3" spans="1:46" ht="39.75" customHeight="1" x14ac:dyDescent="0.25">
      <c r="A3" s="242" t="s">
        <v>50</v>
      </c>
      <c r="B3" s="242"/>
      <c r="C3" s="242"/>
      <c r="D3" s="242"/>
      <c r="E3" s="242"/>
      <c r="F3" s="242"/>
      <c r="G3" s="242"/>
      <c r="H3" s="242"/>
      <c r="I3" s="242"/>
      <c r="J3" s="242"/>
      <c r="K3" s="242"/>
      <c r="L3" s="242"/>
      <c r="M3" s="242"/>
      <c r="N3" s="242"/>
      <c r="O3" s="242"/>
      <c r="P3" s="242"/>
      <c r="Q3" s="239" t="s">
        <v>56</v>
      </c>
      <c r="R3" s="178"/>
      <c r="S3" s="178"/>
      <c r="T3" s="178"/>
      <c r="U3" s="178"/>
      <c r="V3" s="178"/>
      <c r="W3" s="178"/>
      <c r="X3" s="179"/>
      <c r="Y3" s="161"/>
      <c r="Z3" s="161"/>
      <c r="AA3" s="161"/>
      <c r="AB3" s="200" t="s">
        <v>66</v>
      </c>
      <c r="AC3" s="201"/>
      <c r="AD3" s="201"/>
      <c r="AE3" s="201"/>
      <c r="AF3" s="201"/>
      <c r="AG3" s="201"/>
      <c r="AH3" s="201"/>
      <c r="AI3" s="201"/>
      <c r="AJ3" s="201"/>
      <c r="AK3" s="201"/>
      <c r="AL3" s="201"/>
      <c r="AM3" s="201"/>
      <c r="AN3" s="201"/>
      <c r="AO3" s="201"/>
      <c r="AP3" s="205"/>
      <c r="AQ3" s="205"/>
      <c r="AR3" s="205"/>
      <c r="AS3" s="205"/>
      <c r="AT3" s="205"/>
    </row>
    <row r="4" spans="1:46" ht="42" customHeight="1" x14ac:dyDescent="0.25">
      <c r="A4" s="92"/>
      <c r="B4" s="93"/>
      <c r="C4" s="93"/>
      <c r="D4" s="93"/>
      <c r="E4" s="93"/>
      <c r="F4" s="93"/>
      <c r="G4" s="93"/>
      <c r="H4" s="92"/>
      <c r="I4" s="93"/>
      <c r="J4" s="93"/>
      <c r="K4" s="93"/>
      <c r="L4" s="93"/>
      <c r="M4" s="93"/>
      <c r="N4" s="93"/>
      <c r="O4" s="93"/>
      <c r="P4" s="93"/>
      <c r="Q4" s="93"/>
      <c r="R4" s="92"/>
      <c r="S4" s="93"/>
      <c r="T4" s="92"/>
      <c r="U4" s="92"/>
      <c r="V4" s="92"/>
      <c r="W4" s="92"/>
      <c r="X4" s="92"/>
      <c r="Y4" s="94" t="s">
        <v>107</v>
      </c>
      <c r="Z4" s="240" t="s">
        <v>108</v>
      </c>
      <c r="AA4" s="198"/>
      <c r="AB4" s="198"/>
      <c r="AC4" s="198"/>
      <c r="AD4" s="241" t="s">
        <v>119</v>
      </c>
      <c r="AE4" s="198"/>
      <c r="AF4" s="198"/>
      <c r="AG4" s="198"/>
      <c r="AH4" s="236" t="s">
        <v>130</v>
      </c>
      <c r="AI4" s="198"/>
      <c r="AJ4" s="198"/>
      <c r="AK4" s="198"/>
      <c r="AL4" s="237" t="s">
        <v>133</v>
      </c>
      <c r="AM4" s="198"/>
      <c r="AN4" s="198"/>
      <c r="AO4" s="198"/>
      <c r="AP4" s="238" t="s">
        <v>138</v>
      </c>
      <c r="AQ4" s="197" t="s">
        <v>1611</v>
      </c>
      <c r="AR4" s="197" t="s">
        <v>1608</v>
      </c>
      <c r="AS4" s="197" t="s">
        <v>1609</v>
      </c>
      <c r="AT4" s="197" t="s">
        <v>1610</v>
      </c>
    </row>
    <row r="5" spans="1:46" ht="46.5" customHeight="1" x14ac:dyDescent="0.25">
      <c r="A5" s="95" t="s">
        <v>1</v>
      </c>
      <c r="B5" s="95" t="s">
        <v>146</v>
      </c>
      <c r="C5" s="95" t="s">
        <v>148</v>
      </c>
      <c r="D5" s="96" t="s">
        <v>149</v>
      </c>
      <c r="E5" s="96" t="s">
        <v>152</v>
      </c>
      <c r="F5" s="96" t="s">
        <v>153</v>
      </c>
      <c r="G5" s="96" t="s">
        <v>155</v>
      </c>
      <c r="H5" s="97" t="s">
        <v>158</v>
      </c>
      <c r="I5" s="95" t="s">
        <v>159</v>
      </c>
      <c r="J5" s="95" t="s">
        <v>160</v>
      </c>
      <c r="K5" s="95" t="s">
        <v>161</v>
      </c>
      <c r="L5" s="95" t="s">
        <v>162</v>
      </c>
      <c r="M5" s="95" t="s">
        <v>163</v>
      </c>
      <c r="N5" s="95" t="s">
        <v>164</v>
      </c>
      <c r="O5" s="98" t="s">
        <v>1604</v>
      </c>
      <c r="P5" s="98" t="s">
        <v>1605</v>
      </c>
      <c r="Q5" s="95" t="s">
        <v>165</v>
      </c>
      <c r="R5" s="95" t="s">
        <v>167</v>
      </c>
      <c r="S5" s="95" t="s">
        <v>168</v>
      </c>
      <c r="T5" s="95" t="s">
        <v>169</v>
      </c>
      <c r="U5" s="95" t="s">
        <v>170</v>
      </c>
      <c r="V5" s="95" t="s">
        <v>171</v>
      </c>
      <c r="W5" s="95" t="s">
        <v>172</v>
      </c>
      <c r="X5" s="95" t="s">
        <v>173</v>
      </c>
      <c r="Y5" s="99" t="s">
        <v>176</v>
      </c>
      <c r="Z5" s="100" t="s">
        <v>179</v>
      </c>
      <c r="AA5" s="100" t="s">
        <v>182</v>
      </c>
      <c r="AB5" s="100" t="s">
        <v>183</v>
      </c>
      <c r="AC5" s="100" t="s">
        <v>184</v>
      </c>
      <c r="AD5" s="101" t="s">
        <v>188</v>
      </c>
      <c r="AE5" s="101" t="s">
        <v>189</v>
      </c>
      <c r="AF5" s="101" t="s">
        <v>190</v>
      </c>
      <c r="AG5" s="101" t="s">
        <v>191</v>
      </c>
      <c r="AH5" s="102" t="s">
        <v>192</v>
      </c>
      <c r="AI5" s="102" t="s">
        <v>194</v>
      </c>
      <c r="AJ5" s="102" t="s">
        <v>195</v>
      </c>
      <c r="AK5" s="102" t="s">
        <v>196</v>
      </c>
      <c r="AL5" s="103" t="s">
        <v>197</v>
      </c>
      <c r="AM5" s="103" t="s">
        <v>201</v>
      </c>
      <c r="AN5" s="103" t="s">
        <v>202</v>
      </c>
      <c r="AO5" s="103" t="s">
        <v>206</v>
      </c>
      <c r="AP5" s="198"/>
      <c r="AQ5" s="199"/>
      <c r="AR5" s="198"/>
      <c r="AS5" s="198"/>
      <c r="AT5" s="199"/>
    </row>
    <row r="6" spans="1:46" ht="82.5" customHeight="1" x14ac:dyDescent="0.25">
      <c r="A6" s="104">
        <v>1</v>
      </c>
      <c r="B6" s="105" t="s">
        <v>214</v>
      </c>
      <c r="C6" s="106" t="s">
        <v>220</v>
      </c>
      <c r="D6" s="107">
        <v>5</v>
      </c>
      <c r="E6" s="107">
        <v>4</v>
      </c>
      <c r="F6" s="107">
        <v>4</v>
      </c>
      <c r="G6" s="107">
        <v>4</v>
      </c>
      <c r="H6" s="108">
        <f t="shared" ref="H6:H37" si="0">(D6*$B$56)+(E6*$B$57)+(F6*$B$58)+(G6*$B$59)</f>
        <v>4.3</v>
      </c>
      <c r="I6" s="109" t="str">
        <f t="shared" ref="I6:I37" si="1">IF(H6&gt;=4.25,"P1",IF(H6&gt;=3,"P2","P3"))</f>
        <v>P1</v>
      </c>
      <c r="J6" s="110" t="s">
        <v>263</v>
      </c>
      <c r="K6" s="106" t="s">
        <v>269</v>
      </c>
      <c r="L6" s="106" t="s">
        <v>273</v>
      </c>
      <c r="M6" s="106" t="s">
        <v>276</v>
      </c>
      <c r="N6" s="106" t="s">
        <v>278</v>
      </c>
      <c r="O6" s="111" t="s">
        <v>1569</v>
      </c>
      <c r="P6" s="111" t="s">
        <v>1009</v>
      </c>
      <c r="Q6" s="106" t="s">
        <v>220</v>
      </c>
      <c r="R6" s="112" t="s">
        <v>284</v>
      </c>
      <c r="S6" s="106" t="s">
        <v>286</v>
      </c>
      <c r="T6" s="113" t="s">
        <v>289</v>
      </c>
      <c r="U6" s="104" t="s">
        <v>292</v>
      </c>
      <c r="V6" s="104" t="s">
        <v>295</v>
      </c>
      <c r="W6" s="104" t="s">
        <v>296</v>
      </c>
      <c r="X6" s="104" t="s">
        <v>298</v>
      </c>
      <c r="Y6" s="106"/>
      <c r="Z6" s="114" t="s">
        <v>301</v>
      </c>
      <c r="AA6" s="114" t="s">
        <v>301</v>
      </c>
      <c r="AB6" s="114" t="s">
        <v>305</v>
      </c>
      <c r="AC6" s="114" t="s">
        <v>305</v>
      </c>
      <c r="AD6" s="115" t="s">
        <v>308</v>
      </c>
      <c r="AE6" s="115" t="s">
        <v>312</v>
      </c>
      <c r="AF6" s="115" t="s">
        <v>312</v>
      </c>
      <c r="AG6" s="115" t="s">
        <v>312</v>
      </c>
      <c r="AH6" s="116" t="s">
        <v>315</v>
      </c>
      <c r="AI6" s="116" t="s">
        <v>315</v>
      </c>
      <c r="AJ6" s="116" t="s">
        <v>315</v>
      </c>
      <c r="AK6" s="116" t="s">
        <v>315</v>
      </c>
      <c r="AL6" s="117" t="s">
        <v>292</v>
      </c>
      <c r="AM6" s="117" t="s">
        <v>292</v>
      </c>
      <c r="AN6" s="117" t="s">
        <v>292</v>
      </c>
      <c r="AO6" s="117" t="s">
        <v>292</v>
      </c>
      <c r="AP6" s="118" t="s">
        <v>330</v>
      </c>
      <c r="AQ6" s="158" t="s">
        <v>1613</v>
      </c>
      <c r="AR6" s="163">
        <v>46289</v>
      </c>
      <c r="AS6" s="164" t="s">
        <v>1618</v>
      </c>
      <c r="AT6" s="158" t="s">
        <v>1616</v>
      </c>
    </row>
    <row r="7" spans="1:46" ht="63" x14ac:dyDescent="0.25">
      <c r="A7" s="104">
        <v>2</v>
      </c>
      <c r="B7" s="105" t="s">
        <v>334</v>
      </c>
      <c r="C7" s="106" t="s">
        <v>335</v>
      </c>
      <c r="D7" s="107">
        <v>5</v>
      </c>
      <c r="E7" s="107">
        <v>5</v>
      </c>
      <c r="F7" s="107">
        <v>5</v>
      </c>
      <c r="G7" s="107">
        <v>4</v>
      </c>
      <c r="H7" s="108">
        <f t="shared" si="0"/>
        <v>4.75</v>
      </c>
      <c r="I7" s="109" t="str">
        <f t="shared" si="1"/>
        <v>P1</v>
      </c>
      <c r="J7" s="119" t="s">
        <v>346</v>
      </c>
      <c r="K7" s="106" t="s">
        <v>348</v>
      </c>
      <c r="L7" s="106"/>
      <c r="M7" s="106" t="s">
        <v>352</v>
      </c>
      <c r="N7" s="106" t="s">
        <v>353</v>
      </c>
      <c r="O7" s="111" t="s">
        <v>1570</v>
      </c>
      <c r="P7" s="111"/>
      <c r="Q7" s="106" t="s">
        <v>356</v>
      </c>
      <c r="R7" s="120" t="s">
        <v>361</v>
      </c>
      <c r="S7" s="106" t="s">
        <v>365</v>
      </c>
      <c r="T7" s="121" t="s">
        <v>367</v>
      </c>
      <c r="U7" s="104" t="s">
        <v>292</v>
      </c>
      <c r="V7" s="104" t="s">
        <v>295</v>
      </c>
      <c r="W7" s="104" t="s">
        <v>376</v>
      </c>
      <c r="X7" s="104" t="s">
        <v>378</v>
      </c>
      <c r="Y7" s="106"/>
      <c r="Z7" s="114" t="s">
        <v>380</v>
      </c>
      <c r="AA7" s="114" t="s">
        <v>380</v>
      </c>
      <c r="AB7" s="114" t="s">
        <v>382</v>
      </c>
      <c r="AC7" s="114" t="s">
        <v>383</v>
      </c>
      <c r="AD7" s="115" t="s">
        <v>385</v>
      </c>
      <c r="AE7" s="115" t="s">
        <v>386</v>
      </c>
      <c r="AF7" s="115" t="s">
        <v>386</v>
      </c>
      <c r="AG7" s="115" t="s">
        <v>386</v>
      </c>
      <c r="AH7" s="116" t="s">
        <v>389</v>
      </c>
      <c r="AI7" s="116" t="s">
        <v>389</v>
      </c>
      <c r="AJ7" s="116" t="s">
        <v>389</v>
      </c>
      <c r="AK7" s="116" t="s">
        <v>389</v>
      </c>
      <c r="AL7" s="117" t="s">
        <v>292</v>
      </c>
      <c r="AM7" s="117" t="s">
        <v>292</v>
      </c>
      <c r="AN7" s="117" t="s">
        <v>292</v>
      </c>
      <c r="AO7" s="117" t="s">
        <v>292</v>
      </c>
      <c r="AP7" s="118" t="s">
        <v>330</v>
      </c>
      <c r="AQ7" s="158" t="s">
        <v>1613</v>
      </c>
      <c r="AR7" s="163">
        <v>46289</v>
      </c>
      <c r="AS7" s="164" t="s">
        <v>1619</v>
      </c>
      <c r="AT7" s="158" t="s">
        <v>1616</v>
      </c>
    </row>
    <row r="8" spans="1:46" ht="75" x14ac:dyDescent="0.25">
      <c r="A8" s="104">
        <v>3</v>
      </c>
      <c r="B8" s="105" t="s">
        <v>394</v>
      </c>
      <c r="C8" s="106" t="s">
        <v>395</v>
      </c>
      <c r="D8" s="107">
        <v>4</v>
      </c>
      <c r="E8" s="107">
        <v>5</v>
      </c>
      <c r="F8" s="107">
        <v>5</v>
      </c>
      <c r="G8" s="107">
        <v>4</v>
      </c>
      <c r="H8" s="108">
        <f t="shared" si="0"/>
        <v>4.45</v>
      </c>
      <c r="I8" s="109" t="str">
        <f t="shared" si="1"/>
        <v>P1</v>
      </c>
      <c r="J8" s="119" t="s">
        <v>346</v>
      </c>
      <c r="K8" s="106" t="s">
        <v>402</v>
      </c>
      <c r="L8" s="106" t="s">
        <v>234</v>
      </c>
      <c r="M8" s="106" t="s">
        <v>405</v>
      </c>
      <c r="N8" s="106" t="s">
        <v>415</v>
      </c>
      <c r="O8" s="111" t="s">
        <v>1571</v>
      </c>
      <c r="P8" s="111"/>
      <c r="Q8" s="106" t="s">
        <v>395</v>
      </c>
      <c r="R8" s="122" t="s">
        <v>417</v>
      </c>
      <c r="S8" s="106" t="s">
        <v>418</v>
      </c>
      <c r="T8" s="121" t="s">
        <v>367</v>
      </c>
      <c r="U8" s="104" t="s">
        <v>292</v>
      </c>
      <c r="V8" s="104" t="s">
        <v>421</v>
      </c>
      <c r="W8" s="104" t="s">
        <v>423</v>
      </c>
      <c r="X8" s="104" t="s">
        <v>424</v>
      </c>
      <c r="Y8" s="106"/>
      <c r="Z8" s="114" t="s">
        <v>380</v>
      </c>
      <c r="AA8" s="114" t="s">
        <v>380</v>
      </c>
      <c r="AB8" s="114" t="s">
        <v>382</v>
      </c>
      <c r="AC8" s="114" t="s">
        <v>428</v>
      </c>
      <c r="AD8" s="115" t="s">
        <v>428</v>
      </c>
      <c r="AE8" s="115" t="s">
        <v>429</v>
      </c>
      <c r="AF8" s="115" t="s">
        <v>386</v>
      </c>
      <c r="AG8" s="115" t="s">
        <v>386</v>
      </c>
      <c r="AH8" s="116" t="s">
        <v>431</v>
      </c>
      <c r="AI8" s="116" t="s">
        <v>431</v>
      </c>
      <c r="AJ8" s="116" t="s">
        <v>432</v>
      </c>
      <c r="AK8" s="116" t="s">
        <v>432</v>
      </c>
      <c r="AL8" s="117" t="s">
        <v>433</v>
      </c>
      <c r="AM8" s="117" t="s">
        <v>433</v>
      </c>
      <c r="AN8" s="117" t="s">
        <v>433</v>
      </c>
      <c r="AO8" s="117" t="s">
        <v>433</v>
      </c>
      <c r="AP8" s="118" t="s">
        <v>330</v>
      </c>
      <c r="AQ8" s="158" t="s">
        <v>1613</v>
      </c>
      <c r="AR8" s="163">
        <v>46289</v>
      </c>
      <c r="AS8" s="164" t="s">
        <v>1620</v>
      </c>
      <c r="AT8" s="158" t="s">
        <v>1616</v>
      </c>
    </row>
    <row r="9" spans="1:46" ht="63" x14ac:dyDescent="0.25">
      <c r="A9" s="104">
        <v>4</v>
      </c>
      <c r="B9" s="105" t="s">
        <v>237</v>
      </c>
      <c r="C9" s="106" t="s">
        <v>395</v>
      </c>
      <c r="D9" s="107">
        <v>4</v>
      </c>
      <c r="E9" s="107">
        <v>5</v>
      </c>
      <c r="F9" s="107">
        <v>5</v>
      </c>
      <c r="G9" s="107">
        <v>4</v>
      </c>
      <c r="H9" s="108">
        <f t="shared" si="0"/>
        <v>4.45</v>
      </c>
      <c r="I9" s="109" t="str">
        <f t="shared" si="1"/>
        <v>P1</v>
      </c>
      <c r="J9" s="119" t="s">
        <v>346</v>
      </c>
      <c r="K9" s="106" t="s">
        <v>402</v>
      </c>
      <c r="L9" s="106" t="s">
        <v>234</v>
      </c>
      <c r="M9" s="106" t="s">
        <v>405</v>
      </c>
      <c r="N9" s="106" t="s">
        <v>415</v>
      </c>
      <c r="O9" s="111" t="s">
        <v>1571</v>
      </c>
      <c r="P9" s="111"/>
      <c r="Q9" s="106" t="s">
        <v>395</v>
      </c>
      <c r="R9" s="122" t="s">
        <v>417</v>
      </c>
      <c r="S9" s="106" t="s">
        <v>418</v>
      </c>
      <c r="T9" s="121" t="s">
        <v>367</v>
      </c>
      <c r="U9" s="104" t="s">
        <v>292</v>
      </c>
      <c r="V9" s="104" t="s">
        <v>421</v>
      </c>
      <c r="W9" s="104" t="s">
        <v>423</v>
      </c>
      <c r="X9" s="104" t="s">
        <v>424</v>
      </c>
      <c r="Y9" s="123" t="s">
        <v>449</v>
      </c>
      <c r="Z9" s="114" t="s">
        <v>380</v>
      </c>
      <c r="AA9" s="114" t="s">
        <v>380</v>
      </c>
      <c r="AB9" s="114" t="s">
        <v>382</v>
      </c>
      <c r="AC9" s="114" t="s">
        <v>428</v>
      </c>
      <c r="AD9" s="115" t="s">
        <v>428</v>
      </c>
      <c r="AE9" s="115" t="s">
        <v>429</v>
      </c>
      <c r="AF9" s="115" t="s">
        <v>386</v>
      </c>
      <c r="AG9" s="115" t="s">
        <v>386</v>
      </c>
      <c r="AH9" s="116" t="s">
        <v>431</v>
      </c>
      <c r="AI9" s="116" t="s">
        <v>431</v>
      </c>
      <c r="AJ9" s="116" t="s">
        <v>432</v>
      </c>
      <c r="AK9" s="116" t="s">
        <v>432</v>
      </c>
      <c r="AL9" s="117" t="s">
        <v>433</v>
      </c>
      <c r="AM9" s="117" t="s">
        <v>433</v>
      </c>
      <c r="AN9" s="117" t="s">
        <v>433</v>
      </c>
      <c r="AO9" s="117" t="s">
        <v>433</v>
      </c>
      <c r="AP9" s="118" t="s">
        <v>330</v>
      </c>
      <c r="AQ9" s="158" t="s">
        <v>1613</v>
      </c>
      <c r="AR9" s="163">
        <v>46289</v>
      </c>
      <c r="AS9" s="164" t="s">
        <v>1621</v>
      </c>
      <c r="AT9" s="158" t="s">
        <v>1616</v>
      </c>
    </row>
    <row r="10" spans="1:46" ht="60" x14ac:dyDescent="0.25">
      <c r="A10" s="104">
        <v>5</v>
      </c>
      <c r="B10" s="105" t="s">
        <v>398</v>
      </c>
      <c r="C10" s="106" t="s">
        <v>335</v>
      </c>
      <c r="D10" s="107">
        <v>5</v>
      </c>
      <c r="E10" s="107">
        <v>4</v>
      </c>
      <c r="F10" s="107">
        <v>4</v>
      </c>
      <c r="G10" s="107">
        <v>4</v>
      </c>
      <c r="H10" s="108">
        <f t="shared" si="0"/>
        <v>4.3</v>
      </c>
      <c r="I10" s="109" t="str">
        <f t="shared" si="1"/>
        <v>P1</v>
      </c>
      <c r="J10" s="119" t="s">
        <v>346</v>
      </c>
      <c r="K10" s="106" t="s">
        <v>459</v>
      </c>
      <c r="L10" s="106"/>
      <c r="M10" s="106" t="s">
        <v>461</v>
      </c>
      <c r="N10" s="106" t="s">
        <v>463</v>
      </c>
      <c r="O10" s="111" t="s">
        <v>1572</v>
      </c>
      <c r="P10" s="111" t="s">
        <v>1009</v>
      </c>
      <c r="Q10" s="106" t="s">
        <v>464</v>
      </c>
      <c r="R10" s="112" t="s">
        <v>284</v>
      </c>
      <c r="S10" s="106" t="s">
        <v>468</v>
      </c>
      <c r="T10" s="113" t="s">
        <v>289</v>
      </c>
      <c r="U10" s="104" t="s">
        <v>292</v>
      </c>
      <c r="V10" s="104" t="s">
        <v>470</v>
      </c>
      <c r="W10" s="104" t="s">
        <v>376</v>
      </c>
      <c r="X10" s="104" t="s">
        <v>471</v>
      </c>
      <c r="Y10" s="123"/>
      <c r="Z10" s="114" t="s">
        <v>473</v>
      </c>
      <c r="AA10" s="114" t="s">
        <v>475</v>
      </c>
      <c r="AB10" s="114" t="s">
        <v>475</v>
      </c>
      <c r="AC10" s="114" t="s">
        <v>475</v>
      </c>
      <c r="AD10" s="115" t="s">
        <v>476</v>
      </c>
      <c r="AE10" s="115" t="s">
        <v>476</v>
      </c>
      <c r="AF10" s="115" t="s">
        <v>476</v>
      </c>
      <c r="AG10" s="115" t="s">
        <v>476</v>
      </c>
      <c r="AH10" s="116" t="s">
        <v>479</v>
      </c>
      <c r="AI10" s="116" t="s">
        <v>479</v>
      </c>
      <c r="AJ10" s="116" t="s">
        <v>479</v>
      </c>
      <c r="AK10" s="116" t="s">
        <v>479</v>
      </c>
      <c r="AL10" s="117" t="s">
        <v>292</v>
      </c>
      <c r="AM10" s="117" t="s">
        <v>292</v>
      </c>
      <c r="AN10" s="117" t="s">
        <v>292</v>
      </c>
      <c r="AO10" s="117" t="s">
        <v>292</v>
      </c>
      <c r="AP10" s="118" t="s">
        <v>330</v>
      </c>
      <c r="AQ10" s="158" t="s">
        <v>1613</v>
      </c>
      <c r="AR10" s="163">
        <v>46289</v>
      </c>
      <c r="AS10" s="164" t="s">
        <v>1622</v>
      </c>
      <c r="AT10" s="158" t="s">
        <v>1616</v>
      </c>
    </row>
    <row r="11" spans="1:46" ht="126" x14ac:dyDescent="0.25">
      <c r="A11" s="104">
        <v>6</v>
      </c>
      <c r="B11" s="105" t="s">
        <v>7</v>
      </c>
      <c r="C11" s="106" t="s">
        <v>481</v>
      </c>
      <c r="D11" s="107">
        <v>5</v>
      </c>
      <c r="E11" s="107">
        <v>5</v>
      </c>
      <c r="F11" s="107">
        <v>5</v>
      </c>
      <c r="G11" s="107">
        <v>5</v>
      </c>
      <c r="H11" s="108">
        <f t="shared" si="0"/>
        <v>5</v>
      </c>
      <c r="I11" s="109" t="str">
        <f t="shared" si="1"/>
        <v>P1</v>
      </c>
      <c r="J11" s="119" t="s">
        <v>346</v>
      </c>
      <c r="K11" s="106" t="s">
        <v>484</v>
      </c>
      <c r="L11" s="106" t="s">
        <v>485</v>
      </c>
      <c r="M11" s="106" t="s">
        <v>486</v>
      </c>
      <c r="N11" s="106" t="s">
        <v>487</v>
      </c>
      <c r="O11" s="111" t="s">
        <v>1573</v>
      </c>
      <c r="P11" s="111" t="s">
        <v>1574</v>
      </c>
      <c r="Q11" s="106" t="s">
        <v>481</v>
      </c>
      <c r="R11" s="120" t="s">
        <v>489</v>
      </c>
      <c r="S11" s="106" t="s">
        <v>490</v>
      </c>
      <c r="T11" s="124" t="s">
        <v>491</v>
      </c>
      <c r="U11" s="104" t="s">
        <v>292</v>
      </c>
      <c r="V11" s="104" t="s">
        <v>493</v>
      </c>
      <c r="W11" s="104" t="s">
        <v>494</v>
      </c>
      <c r="X11" s="104" t="s">
        <v>495</v>
      </c>
      <c r="Y11" s="106"/>
      <c r="Z11" s="114" t="s">
        <v>496</v>
      </c>
      <c r="AA11" s="114" t="s">
        <v>496</v>
      </c>
      <c r="AB11" s="114" t="s">
        <v>497</v>
      </c>
      <c r="AC11" s="114" t="s">
        <v>497</v>
      </c>
      <c r="AD11" s="115" t="s">
        <v>498</v>
      </c>
      <c r="AE11" s="115" t="s">
        <v>499</v>
      </c>
      <c r="AF11" s="115" t="s">
        <v>500</v>
      </c>
      <c r="AG11" s="115" t="s">
        <v>500</v>
      </c>
      <c r="AH11" s="116" t="s">
        <v>501</v>
      </c>
      <c r="AI11" s="116" t="s">
        <v>501</v>
      </c>
      <c r="AJ11" s="116" t="s">
        <v>501</v>
      </c>
      <c r="AK11" s="116" t="s">
        <v>501</v>
      </c>
      <c r="AL11" s="117" t="s">
        <v>292</v>
      </c>
      <c r="AM11" s="117" t="s">
        <v>292</v>
      </c>
      <c r="AN11" s="117" t="s">
        <v>292</v>
      </c>
      <c r="AO11" s="117" t="s">
        <v>292</v>
      </c>
      <c r="AP11" s="118" t="s">
        <v>330</v>
      </c>
      <c r="AQ11" s="158" t="s">
        <v>1612</v>
      </c>
      <c r="AR11" s="89"/>
      <c r="AS11" s="164" t="s">
        <v>1623</v>
      </c>
      <c r="AT11" s="158" t="s">
        <v>1617</v>
      </c>
    </row>
    <row r="12" spans="1:46" ht="67.5" customHeight="1" x14ac:dyDescent="0.25">
      <c r="A12" s="104">
        <v>7</v>
      </c>
      <c r="B12" s="106" t="s">
        <v>53</v>
      </c>
      <c r="C12" s="106" t="s">
        <v>510</v>
      </c>
      <c r="D12" s="107">
        <v>5</v>
      </c>
      <c r="E12" s="107">
        <v>4</v>
      </c>
      <c r="F12" s="107">
        <v>5</v>
      </c>
      <c r="G12" s="107">
        <v>5</v>
      </c>
      <c r="H12" s="108">
        <f t="shared" si="0"/>
        <v>4.8</v>
      </c>
      <c r="I12" s="109" t="str">
        <f t="shared" si="1"/>
        <v>P1</v>
      </c>
      <c r="J12" s="119" t="s">
        <v>346</v>
      </c>
      <c r="K12" s="106" t="s">
        <v>513</v>
      </c>
      <c r="L12" s="106" t="s">
        <v>514</v>
      </c>
      <c r="M12" s="106" t="s">
        <v>515</v>
      </c>
      <c r="N12" s="106" t="s">
        <v>516</v>
      </c>
      <c r="O12" s="111" t="s">
        <v>1575</v>
      </c>
      <c r="P12" s="111" t="s">
        <v>1576</v>
      </c>
      <c r="Q12" s="106" t="s">
        <v>510</v>
      </c>
      <c r="R12" s="120" t="s">
        <v>489</v>
      </c>
      <c r="S12" s="106" t="s">
        <v>517</v>
      </c>
      <c r="T12" s="113" t="s">
        <v>289</v>
      </c>
      <c r="U12" s="104" t="s">
        <v>292</v>
      </c>
      <c r="V12" s="104" t="s">
        <v>421</v>
      </c>
      <c r="W12" s="104" t="s">
        <v>518</v>
      </c>
      <c r="X12" s="104" t="s">
        <v>519</v>
      </c>
      <c r="Y12" s="106"/>
      <c r="Z12" s="114" t="s">
        <v>496</v>
      </c>
      <c r="AA12" s="114" t="s">
        <v>496</v>
      </c>
      <c r="AB12" s="114" t="s">
        <v>520</v>
      </c>
      <c r="AC12" s="114" t="s">
        <v>520</v>
      </c>
      <c r="AD12" s="115" t="s">
        <v>521</v>
      </c>
      <c r="AE12" s="115" t="s">
        <v>522</v>
      </c>
      <c r="AF12" s="115" t="s">
        <v>522</v>
      </c>
      <c r="AG12" s="115" t="s">
        <v>522</v>
      </c>
      <c r="AH12" s="116" t="s">
        <v>524</v>
      </c>
      <c r="AI12" s="116" t="s">
        <v>524</v>
      </c>
      <c r="AJ12" s="116" t="s">
        <v>524</v>
      </c>
      <c r="AK12" s="116" t="s">
        <v>524</v>
      </c>
      <c r="AL12" s="117" t="s">
        <v>292</v>
      </c>
      <c r="AM12" s="117" t="s">
        <v>292</v>
      </c>
      <c r="AN12" s="117" t="s">
        <v>292</v>
      </c>
      <c r="AO12" s="117" t="s">
        <v>292</v>
      </c>
      <c r="AP12" s="118" t="s">
        <v>527</v>
      </c>
      <c r="AQ12" s="158" t="s">
        <v>1612</v>
      </c>
      <c r="AR12" s="89"/>
      <c r="AS12" s="164" t="s">
        <v>1624</v>
      </c>
      <c r="AT12" s="158" t="s">
        <v>1617</v>
      </c>
    </row>
    <row r="13" spans="1:46" ht="67.5" customHeight="1" x14ac:dyDescent="0.25">
      <c r="A13" s="104">
        <v>8</v>
      </c>
      <c r="B13" s="105" t="s">
        <v>99</v>
      </c>
      <c r="C13" s="106" t="s">
        <v>528</v>
      </c>
      <c r="D13" s="107">
        <v>5</v>
      </c>
      <c r="E13" s="107">
        <v>4</v>
      </c>
      <c r="F13" s="107">
        <v>4</v>
      </c>
      <c r="G13" s="107">
        <v>4</v>
      </c>
      <c r="H13" s="108">
        <f t="shared" si="0"/>
        <v>4.3</v>
      </c>
      <c r="I13" s="109" t="str">
        <f t="shared" si="1"/>
        <v>P1</v>
      </c>
      <c r="J13" s="125" t="s">
        <v>529</v>
      </c>
      <c r="K13" s="106" t="s">
        <v>530</v>
      </c>
      <c r="L13" s="106" t="s">
        <v>531</v>
      </c>
      <c r="M13" s="106" t="s">
        <v>532</v>
      </c>
      <c r="N13" s="106" t="s">
        <v>533</v>
      </c>
      <c r="O13" s="111" t="s">
        <v>1577</v>
      </c>
      <c r="P13" s="111"/>
      <c r="Q13" s="106" t="s">
        <v>528</v>
      </c>
      <c r="R13" s="124" t="s">
        <v>534</v>
      </c>
      <c r="S13" s="106" t="s">
        <v>535</v>
      </c>
      <c r="T13" s="126" t="s">
        <v>536</v>
      </c>
      <c r="U13" s="104" t="s">
        <v>292</v>
      </c>
      <c r="V13" s="104" t="s">
        <v>470</v>
      </c>
      <c r="W13" s="104" t="s">
        <v>537</v>
      </c>
      <c r="X13" s="104" t="s">
        <v>538</v>
      </c>
      <c r="Y13" s="106"/>
      <c r="Z13" s="114" t="s">
        <v>539</v>
      </c>
      <c r="AA13" s="114" t="s">
        <v>539</v>
      </c>
      <c r="AB13" s="114" t="s">
        <v>539</v>
      </c>
      <c r="AC13" s="114" t="s">
        <v>539</v>
      </c>
      <c r="AD13" s="115" t="s">
        <v>540</v>
      </c>
      <c r="AE13" s="115" t="s">
        <v>541</v>
      </c>
      <c r="AF13" s="115" t="s">
        <v>541</v>
      </c>
      <c r="AG13" s="115" t="s">
        <v>541</v>
      </c>
      <c r="AH13" s="116" t="s">
        <v>542</v>
      </c>
      <c r="AI13" s="116" t="s">
        <v>542</v>
      </c>
      <c r="AJ13" s="116" t="s">
        <v>542</v>
      </c>
      <c r="AK13" s="116" t="s">
        <v>542</v>
      </c>
      <c r="AL13" s="117" t="s">
        <v>543</v>
      </c>
      <c r="AM13" s="117" t="s">
        <v>543</v>
      </c>
      <c r="AN13" s="117" t="s">
        <v>543</v>
      </c>
      <c r="AO13" s="117" t="s">
        <v>543</v>
      </c>
      <c r="AP13" s="118" t="s">
        <v>330</v>
      </c>
      <c r="AQ13" s="158" t="s">
        <v>1614</v>
      </c>
      <c r="AR13" s="163">
        <v>46280</v>
      </c>
      <c r="AS13" s="164" t="s">
        <v>1625</v>
      </c>
      <c r="AT13" s="158" t="s">
        <v>1617</v>
      </c>
    </row>
    <row r="14" spans="1:46" ht="67.5" customHeight="1" x14ac:dyDescent="0.25">
      <c r="A14" s="104">
        <v>9</v>
      </c>
      <c r="B14" s="106" t="s">
        <v>166</v>
      </c>
      <c r="C14" s="106" t="s">
        <v>546</v>
      </c>
      <c r="D14" s="107">
        <v>5</v>
      </c>
      <c r="E14" s="107">
        <v>4</v>
      </c>
      <c r="F14" s="107">
        <v>4</v>
      </c>
      <c r="G14" s="107">
        <v>4</v>
      </c>
      <c r="H14" s="108">
        <f t="shared" si="0"/>
        <v>4.3</v>
      </c>
      <c r="I14" s="109" t="str">
        <f t="shared" si="1"/>
        <v>P1</v>
      </c>
      <c r="J14" s="119" t="s">
        <v>346</v>
      </c>
      <c r="K14" s="106" t="s">
        <v>555</v>
      </c>
      <c r="L14" s="106" t="s">
        <v>557</v>
      </c>
      <c r="M14" s="106" t="s">
        <v>559</v>
      </c>
      <c r="N14" s="106" t="s">
        <v>560</v>
      </c>
      <c r="O14" s="111" t="s">
        <v>1578</v>
      </c>
      <c r="P14" s="111" t="s">
        <v>1579</v>
      </c>
      <c r="Q14" s="106" t="s">
        <v>562</v>
      </c>
      <c r="R14" s="120" t="s">
        <v>417</v>
      </c>
      <c r="S14" s="106" t="s">
        <v>566</v>
      </c>
      <c r="T14" s="120" t="s">
        <v>567</v>
      </c>
      <c r="U14" s="104" t="s">
        <v>292</v>
      </c>
      <c r="V14" s="104" t="s">
        <v>470</v>
      </c>
      <c r="W14" s="104" t="s">
        <v>537</v>
      </c>
      <c r="X14" s="104" t="s">
        <v>569</v>
      </c>
      <c r="Y14" s="106"/>
      <c r="Z14" s="114" t="s">
        <v>571</v>
      </c>
      <c r="AA14" s="114" t="s">
        <v>571</v>
      </c>
      <c r="AB14" s="114" t="s">
        <v>571</v>
      </c>
      <c r="AC14" s="114" t="s">
        <v>574</v>
      </c>
      <c r="AD14" s="115" t="s">
        <v>575</v>
      </c>
      <c r="AE14" s="115" t="s">
        <v>575</v>
      </c>
      <c r="AF14" s="115" t="s">
        <v>575</v>
      </c>
      <c r="AG14" s="115" t="s">
        <v>575</v>
      </c>
      <c r="AH14" s="116" t="s">
        <v>578</v>
      </c>
      <c r="AI14" s="116" t="s">
        <v>578</v>
      </c>
      <c r="AJ14" s="116" t="s">
        <v>578</v>
      </c>
      <c r="AK14" s="116" t="s">
        <v>578</v>
      </c>
      <c r="AL14" s="117" t="s">
        <v>292</v>
      </c>
      <c r="AM14" s="117" t="s">
        <v>292</v>
      </c>
      <c r="AN14" s="117" t="s">
        <v>292</v>
      </c>
      <c r="AO14" s="117" t="s">
        <v>292</v>
      </c>
      <c r="AP14" s="118" t="s">
        <v>330</v>
      </c>
      <c r="AQ14" s="158" t="s">
        <v>1614</v>
      </c>
      <c r="AR14" s="163">
        <v>46265</v>
      </c>
      <c r="AS14" s="164" t="s">
        <v>1626</v>
      </c>
      <c r="AT14" s="158" t="s">
        <v>1617</v>
      </c>
    </row>
    <row r="15" spans="1:46" ht="67.5" customHeight="1" x14ac:dyDescent="0.25">
      <c r="A15" s="104">
        <v>10</v>
      </c>
      <c r="B15" s="106" t="s">
        <v>193</v>
      </c>
      <c r="C15" s="106" t="s">
        <v>585</v>
      </c>
      <c r="D15" s="107">
        <v>5</v>
      </c>
      <c r="E15" s="107">
        <v>4</v>
      </c>
      <c r="F15" s="107">
        <v>5</v>
      </c>
      <c r="G15" s="107">
        <v>4</v>
      </c>
      <c r="H15" s="108">
        <f t="shared" si="0"/>
        <v>4.55</v>
      </c>
      <c r="I15" s="109" t="str">
        <f t="shared" si="1"/>
        <v>P1</v>
      </c>
      <c r="J15" s="119" t="s">
        <v>346</v>
      </c>
      <c r="K15" s="106" t="s">
        <v>592</v>
      </c>
      <c r="L15" s="106" t="s">
        <v>593</v>
      </c>
      <c r="M15" s="106" t="s">
        <v>594</v>
      </c>
      <c r="N15" s="106" t="s">
        <v>596</v>
      </c>
      <c r="O15" s="111" t="s">
        <v>1580</v>
      </c>
      <c r="P15" s="111"/>
      <c r="Q15" s="106" t="s">
        <v>585</v>
      </c>
      <c r="R15" s="127" t="s">
        <v>361</v>
      </c>
      <c r="S15" s="106" t="s">
        <v>598</v>
      </c>
      <c r="T15" s="113" t="s">
        <v>289</v>
      </c>
      <c r="U15" s="104" t="s">
        <v>292</v>
      </c>
      <c r="V15" s="104" t="s">
        <v>421</v>
      </c>
      <c r="W15" s="104" t="s">
        <v>537</v>
      </c>
      <c r="X15" s="104" t="s">
        <v>599</v>
      </c>
      <c r="Y15" s="106"/>
      <c r="Z15" s="114" t="s">
        <v>601</v>
      </c>
      <c r="AA15" s="114" t="s">
        <v>601</v>
      </c>
      <c r="AB15" s="114" t="s">
        <v>601</v>
      </c>
      <c r="AC15" s="114" t="s">
        <v>602</v>
      </c>
      <c r="AD15" s="115" t="s">
        <v>603</v>
      </c>
      <c r="AE15" s="115" t="s">
        <v>603</v>
      </c>
      <c r="AF15" s="115" t="s">
        <v>603</v>
      </c>
      <c r="AG15" s="115" t="s">
        <v>603</v>
      </c>
      <c r="AH15" s="116" t="s">
        <v>605</v>
      </c>
      <c r="AI15" s="116" t="s">
        <v>605</v>
      </c>
      <c r="AJ15" s="116" t="s">
        <v>605</v>
      </c>
      <c r="AK15" s="116" t="s">
        <v>605</v>
      </c>
      <c r="AL15" s="117" t="s">
        <v>292</v>
      </c>
      <c r="AM15" s="117" t="s">
        <v>292</v>
      </c>
      <c r="AN15" s="117" t="s">
        <v>292</v>
      </c>
      <c r="AO15" s="117" t="s">
        <v>292</v>
      </c>
      <c r="AP15" s="118" t="s">
        <v>527</v>
      </c>
      <c r="AQ15" s="158" t="s">
        <v>1612</v>
      </c>
      <c r="AR15" s="89"/>
      <c r="AS15" s="164" t="s">
        <v>1627</v>
      </c>
      <c r="AT15" s="158" t="s">
        <v>1617</v>
      </c>
    </row>
    <row r="16" spans="1:46" ht="67.5" customHeight="1" x14ac:dyDescent="0.25">
      <c r="A16" s="104">
        <v>11</v>
      </c>
      <c r="B16" s="105" t="s">
        <v>612</v>
      </c>
      <c r="C16" s="106" t="s">
        <v>613</v>
      </c>
      <c r="D16" s="107">
        <v>5</v>
      </c>
      <c r="E16" s="107">
        <v>4</v>
      </c>
      <c r="F16" s="107">
        <v>4</v>
      </c>
      <c r="G16" s="107">
        <v>4</v>
      </c>
      <c r="H16" s="108">
        <f t="shared" si="0"/>
        <v>4.3</v>
      </c>
      <c r="I16" s="109" t="str">
        <f t="shared" si="1"/>
        <v>P1</v>
      </c>
      <c r="J16" s="128" t="s">
        <v>615</v>
      </c>
      <c r="K16" s="106" t="s">
        <v>616</v>
      </c>
      <c r="L16" s="106" t="s">
        <v>617</v>
      </c>
      <c r="M16" s="106" t="s">
        <v>618</v>
      </c>
      <c r="N16" s="106" t="s">
        <v>619</v>
      </c>
      <c r="O16" s="111" t="s">
        <v>1581</v>
      </c>
      <c r="P16" s="111" t="s">
        <v>1576</v>
      </c>
      <c r="Q16" s="106" t="s">
        <v>613</v>
      </c>
      <c r="R16" s="129" t="s">
        <v>622</v>
      </c>
      <c r="S16" s="106" t="s">
        <v>625</v>
      </c>
      <c r="T16" s="121" t="s">
        <v>367</v>
      </c>
      <c r="U16" s="104" t="s">
        <v>292</v>
      </c>
      <c r="V16" s="104" t="s">
        <v>421</v>
      </c>
      <c r="W16" s="104" t="s">
        <v>537</v>
      </c>
      <c r="X16" s="104" t="s">
        <v>627</v>
      </c>
      <c r="Y16" s="106"/>
      <c r="Z16" s="114" t="s">
        <v>628</v>
      </c>
      <c r="AA16" s="114" t="s">
        <v>628</v>
      </c>
      <c r="AB16" s="114" t="s">
        <v>628</v>
      </c>
      <c r="AC16" s="114" t="s">
        <v>629</v>
      </c>
      <c r="AD16" s="115" t="s">
        <v>630</v>
      </c>
      <c r="AE16" s="115" t="s">
        <v>631</v>
      </c>
      <c r="AF16" s="115" t="s">
        <v>631</v>
      </c>
      <c r="AG16" s="115" t="s">
        <v>631</v>
      </c>
      <c r="AH16" s="116" t="s">
        <v>633</v>
      </c>
      <c r="AI16" s="116" t="s">
        <v>633</v>
      </c>
      <c r="AJ16" s="116" t="s">
        <v>633</v>
      </c>
      <c r="AK16" s="116" t="s">
        <v>633</v>
      </c>
      <c r="AL16" s="117" t="s">
        <v>292</v>
      </c>
      <c r="AM16" s="117" t="s">
        <v>292</v>
      </c>
      <c r="AN16" s="117" t="s">
        <v>292</v>
      </c>
      <c r="AO16" s="117" t="s">
        <v>292</v>
      </c>
      <c r="AP16" s="118" t="s">
        <v>330</v>
      </c>
      <c r="AQ16" s="158" t="s">
        <v>1614</v>
      </c>
      <c r="AR16" s="163">
        <v>46280</v>
      </c>
      <c r="AS16" s="164" t="s">
        <v>1628</v>
      </c>
      <c r="AT16" s="158" t="s">
        <v>1617</v>
      </c>
    </row>
    <row r="17" spans="1:46" ht="67.5" customHeight="1" x14ac:dyDescent="0.25">
      <c r="A17" s="104">
        <v>12</v>
      </c>
      <c r="B17" s="106" t="s">
        <v>225</v>
      </c>
      <c r="C17" s="106" t="s">
        <v>634</v>
      </c>
      <c r="D17" s="107">
        <v>5</v>
      </c>
      <c r="E17" s="107">
        <v>4</v>
      </c>
      <c r="F17" s="107">
        <v>4</v>
      </c>
      <c r="G17" s="107">
        <v>4</v>
      </c>
      <c r="H17" s="108">
        <f t="shared" si="0"/>
        <v>4.3</v>
      </c>
      <c r="I17" s="109" t="str">
        <f t="shared" si="1"/>
        <v>P1</v>
      </c>
      <c r="J17" s="128" t="s">
        <v>615</v>
      </c>
      <c r="K17" s="106" t="s">
        <v>616</v>
      </c>
      <c r="L17" s="106" t="s">
        <v>226</v>
      </c>
      <c r="M17" s="106" t="s">
        <v>636</v>
      </c>
      <c r="N17" s="106" t="s">
        <v>619</v>
      </c>
      <c r="O17" s="111" t="s">
        <v>1581</v>
      </c>
      <c r="P17" s="111"/>
      <c r="Q17" s="106" t="s">
        <v>634</v>
      </c>
      <c r="R17" s="129" t="s">
        <v>622</v>
      </c>
      <c r="S17" s="106" t="s">
        <v>637</v>
      </c>
      <c r="T17" s="121" t="s">
        <v>367</v>
      </c>
      <c r="U17" s="104" t="s">
        <v>292</v>
      </c>
      <c r="V17" s="104" t="s">
        <v>421</v>
      </c>
      <c r="W17" s="104" t="s">
        <v>537</v>
      </c>
      <c r="X17" s="104" t="s">
        <v>639</v>
      </c>
      <c r="Y17" s="106"/>
      <c r="Z17" s="114" t="s">
        <v>640</v>
      </c>
      <c r="AA17" s="114" t="s">
        <v>640</v>
      </c>
      <c r="AB17" s="114" t="s">
        <v>640</v>
      </c>
      <c r="AC17" s="114" t="s">
        <v>641</v>
      </c>
      <c r="AD17" s="115" t="s">
        <v>642</v>
      </c>
      <c r="AE17" s="115" t="s">
        <v>643</v>
      </c>
      <c r="AF17" s="115" t="s">
        <v>643</v>
      </c>
      <c r="AG17" s="115" t="s">
        <v>643</v>
      </c>
      <c r="AH17" s="116" t="s">
        <v>644</v>
      </c>
      <c r="AI17" s="116" t="s">
        <v>644</v>
      </c>
      <c r="AJ17" s="116" t="s">
        <v>644</v>
      </c>
      <c r="AK17" s="116" t="s">
        <v>644</v>
      </c>
      <c r="AL17" s="117" t="s">
        <v>292</v>
      </c>
      <c r="AM17" s="117" t="s">
        <v>292</v>
      </c>
      <c r="AN17" s="117" t="s">
        <v>292</v>
      </c>
      <c r="AO17" s="117" t="s">
        <v>292</v>
      </c>
      <c r="AP17" s="118" t="s">
        <v>527</v>
      </c>
      <c r="AQ17" s="158" t="s">
        <v>1612</v>
      </c>
      <c r="AR17" s="89"/>
      <c r="AS17" s="164" t="s">
        <v>1629</v>
      </c>
      <c r="AT17" s="158" t="s">
        <v>1617</v>
      </c>
    </row>
    <row r="18" spans="1:46" ht="67.5" customHeight="1" x14ac:dyDescent="0.25">
      <c r="A18" s="104">
        <v>13</v>
      </c>
      <c r="B18" s="105" t="s">
        <v>229</v>
      </c>
      <c r="C18" s="106" t="s">
        <v>645</v>
      </c>
      <c r="D18" s="107">
        <v>5</v>
      </c>
      <c r="E18" s="107">
        <v>4</v>
      </c>
      <c r="F18" s="107">
        <v>4</v>
      </c>
      <c r="G18" s="107">
        <v>4</v>
      </c>
      <c r="H18" s="108">
        <f t="shared" si="0"/>
        <v>4.3</v>
      </c>
      <c r="I18" s="109" t="str">
        <f t="shared" si="1"/>
        <v>P1</v>
      </c>
      <c r="J18" s="130" t="s">
        <v>263</v>
      </c>
      <c r="K18" s="106" t="s">
        <v>645</v>
      </c>
      <c r="L18" s="106"/>
      <c r="M18" s="106" t="s">
        <v>648</v>
      </c>
      <c r="N18" s="106" t="s">
        <v>619</v>
      </c>
      <c r="O18" s="111" t="s">
        <v>1581</v>
      </c>
      <c r="P18" s="111" t="s">
        <v>1576</v>
      </c>
      <c r="Q18" s="106" t="s">
        <v>649</v>
      </c>
      <c r="R18" s="112" t="s">
        <v>622</v>
      </c>
      <c r="S18" s="106" t="s">
        <v>650</v>
      </c>
      <c r="T18" s="121" t="s">
        <v>367</v>
      </c>
      <c r="U18" s="104" t="s">
        <v>292</v>
      </c>
      <c r="V18" s="104" t="s">
        <v>470</v>
      </c>
      <c r="W18" s="104" t="s">
        <v>651</v>
      </c>
      <c r="X18" s="104" t="s">
        <v>652</v>
      </c>
      <c r="Y18" s="123"/>
      <c r="Z18" s="114" t="s">
        <v>380</v>
      </c>
      <c r="AA18" s="114" t="s">
        <v>380</v>
      </c>
      <c r="AB18" s="114" t="s">
        <v>653</v>
      </c>
      <c r="AC18" s="114" t="s">
        <v>653</v>
      </c>
      <c r="AD18" s="115" t="s">
        <v>655</v>
      </c>
      <c r="AE18" s="115" t="s">
        <v>631</v>
      </c>
      <c r="AF18" s="115" t="s">
        <v>631</v>
      </c>
      <c r="AG18" s="115" t="s">
        <v>631</v>
      </c>
      <c r="AH18" s="116" t="s">
        <v>656</v>
      </c>
      <c r="AI18" s="116" t="s">
        <v>656</v>
      </c>
      <c r="AJ18" s="116" t="s">
        <v>656</v>
      </c>
      <c r="AK18" s="116" t="s">
        <v>656</v>
      </c>
      <c r="AL18" s="117" t="s">
        <v>292</v>
      </c>
      <c r="AM18" s="117" t="s">
        <v>292</v>
      </c>
      <c r="AN18" s="117" t="s">
        <v>292</v>
      </c>
      <c r="AO18" s="117" t="s">
        <v>292</v>
      </c>
      <c r="AP18" s="118" t="s">
        <v>330</v>
      </c>
      <c r="AQ18" s="158" t="s">
        <v>1614</v>
      </c>
      <c r="AR18" s="163">
        <v>46266</v>
      </c>
      <c r="AS18" s="164" t="s">
        <v>1630</v>
      </c>
      <c r="AT18" s="158" t="s">
        <v>1617</v>
      </c>
    </row>
    <row r="19" spans="1:46" ht="67.5" customHeight="1" x14ac:dyDescent="0.25">
      <c r="A19" s="131">
        <v>14</v>
      </c>
      <c r="B19" s="105" t="s">
        <v>436</v>
      </c>
      <c r="C19" s="106" t="s">
        <v>657</v>
      </c>
      <c r="D19" s="104">
        <v>5</v>
      </c>
      <c r="E19" s="104">
        <v>5</v>
      </c>
      <c r="F19" s="104">
        <v>5</v>
      </c>
      <c r="G19" s="104">
        <v>4</v>
      </c>
      <c r="H19" s="108">
        <f t="shared" si="0"/>
        <v>4.75</v>
      </c>
      <c r="I19" s="132" t="str">
        <f t="shared" si="1"/>
        <v>P1</v>
      </c>
      <c r="J19" s="125" t="s">
        <v>529</v>
      </c>
      <c r="K19" s="106" t="s">
        <v>1718</v>
      </c>
      <c r="L19" s="133"/>
      <c r="M19" s="134" t="s">
        <v>659</v>
      </c>
      <c r="N19" s="106" t="s">
        <v>660</v>
      </c>
      <c r="O19" s="111" t="s">
        <v>1582</v>
      </c>
      <c r="P19" s="111" t="s">
        <v>1579</v>
      </c>
      <c r="Q19" s="106" t="s">
        <v>657</v>
      </c>
      <c r="R19" s="112" t="s">
        <v>417</v>
      </c>
      <c r="S19" s="134" t="s">
        <v>1720</v>
      </c>
      <c r="T19" s="135" t="s">
        <v>661</v>
      </c>
      <c r="U19" s="136" t="s">
        <v>292</v>
      </c>
      <c r="V19" s="104" t="s">
        <v>470</v>
      </c>
      <c r="W19" s="104" t="s">
        <v>663</v>
      </c>
      <c r="X19" s="136" t="s">
        <v>665</v>
      </c>
      <c r="Y19" s="133"/>
      <c r="Z19" s="133"/>
      <c r="AA19" s="133"/>
      <c r="AB19" s="137" t="s">
        <v>668</v>
      </c>
      <c r="AC19" s="137" t="s">
        <v>668</v>
      </c>
      <c r="AD19" s="138" t="s">
        <v>670</v>
      </c>
      <c r="AE19" s="138" t="s">
        <v>541</v>
      </c>
      <c r="AF19" s="138" t="s">
        <v>541</v>
      </c>
      <c r="AG19" s="138" t="s">
        <v>541</v>
      </c>
      <c r="AH19" s="139" t="s">
        <v>671</v>
      </c>
      <c r="AI19" s="139" t="s">
        <v>671</v>
      </c>
      <c r="AJ19" s="139" t="s">
        <v>671</v>
      </c>
      <c r="AK19" s="139" t="s">
        <v>671</v>
      </c>
      <c r="AL19" s="140" t="s">
        <v>543</v>
      </c>
      <c r="AM19" s="140" t="s">
        <v>543</v>
      </c>
      <c r="AN19" s="140" t="s">
        <v>543</v>
      </c>
      <c r="AO19" s="140" t="s">
        <v>543</v>
      </c>
      <c r="AP19" s="118" t="s">
        <v>330</v>
      </c>
      <c r="AQ19" s="158" t="s">
        <v>1613</v>
      </c>
      <c r="AR19" s="163">
        <v>46289</v>
      </c>
      <c r="AS19" s="164" t="s">
        <v>1631</v>
      </c>
      <c r="AT19" s="158" t="s">
        <v>1616</v>
      </c>
    </row>
    <row r="20" spans="1:46" ht="67.5" customHeight="1" x14ac:dyDescent="0.25">
      <c r="A20" s="104">
        <v>15</v>
      </c>
      <c r="B20" s="105" t="s">
        <v>326</v>
      </c>
      <c r="C20" s="106" t="s">
        <v>657</v>
      </c>
      <c r="D20" s="107">
        <v>4</v>
      </c>
      <c r="E20" s="107">
        <v>4</v>
      </c>
      <c r="F20" s="107">
        <v>4</v>
      </c>
      <c r="G20" s="107">
        <v>3</v>
      </c>
      <c r="H20" s="108">
        <f t="shared" si="0"/>
        <v>3.75</v>
      </c>
      <c r="I20" s="141" t="str">
        <f t="shared" si="1"/>
        <v>P2</v>
      </c>
      <c r="J20" s="125" t="s">
        <v>529</v>
      </c>
      <c r="K20" s="106" t="s">
        <v>530</v>
      </c>
      <c r="L20" s="106" t="s">
        <v>673</v>
      </c>
      <c r="M20" s="106" t="s">
        <v>674</v>
      </c>
      <c r="N20" s="106" t="s">
        <v>533</v>
      </c>
      <c r="O20" s="111" t="s">
        <v>1577</v>
      </c>
      <c r="P20" s="111"/>
      <c r="Q20" s="106" t="s">
        <v>657</v>
      </c>
      <c r="R20" s="124" t="s">
        <v>534</v>
      </c>
      <c r="S20" s="106" t="s">
        <v>675</v>
      </c>
      <c r="T20" s="126" t="s">
        <v>536</v>
      </c>
      <c r="U20" s="104" t="s">
        <v>292</v>
      </c>
      <c r="V20" s="104" t="s">
        <v>470</v>
      </c>
      <c r="W20" s="104" t="s">
        <v>663</v>
      </c>
      <c r="X20" s="104" t="s">
        <v>676</v>
      </c>
      <c r="Y20" s="106"/>
      <c r="Z20" s="114" t="s">
        <v>383</v>
      </c>
      <c r="AA20" s="114" t="s">
        <v>383</v>
      </c>
      <c r="AB20" s="114" t="s">
        <v>677</v>
      </c>
      <c r="AC20" s="114" t="s">
        <v>677</v>
      </c>
      <c r="AD20" s="115" t="s">
        <v>678</v>
      </c>
      <c r="AE20" s="115" t="s">
        <v>541</v>
      </c>
      <c r="AF20" s="115" t="s">
        <v>541</v>
      </c>
      <c r="AG20" s="115" t="s">
        <v>541</v>
      </c>
      <c r="AH20" s="116" t="s">
        <v>679</v>
      </c>
      <c r="AI20" s="116" t="s">
        <v>679</v>
      </c>
      <c r="AJ20" s="116" t="s">
        <v>679</v>
      </c>
      <c r="AK20" s="116" t="s">
        <v>679</v>
      </c>
      <c r="AL20" s="117" t="s">
        <v>292</v>
      </c>
      <c r="AM20" s="117" t="s">
        <v>292</v>
      </c>
      <c r="AN20" s="117" t="s">
        <v>292</v>
      </c>
      <c r="AO20" s="117" t="s">
        <v>292</v>
      </c>
      <c r="AP20" s="118" t="s">
        <v>330</v>
      </c>
      <c r="AQ20" s="158" t="s">
        <v>1612</v>
      </c>
      <c r="AR20" s="89"/>
      <c r="AS20" s="164" t="s">
        <v>1632</v>
      </c>
      <c r="AT20" s="158" t="s">
        <v>1617</v>
      </c>
    </row>
    <row r="21" spans="1:46" ht="67.5" customHeight="1" x14ac:dyDescent="0.25">
      <c r="A21" s="104">
        <v>16</v>
      </c>
      <c r="B21" s="106" t="s">
        <v>241</v>
      </c>
      <c r="C21" s="106" t="s">
        <v>680</v>
      </c>
      <c r="D21" s="107">
        <v>4</v>
      </c>
      <c r="E21" s="107">
        <v>4</v>
      </c>
      <c r="F21" s="107">
        <v>4</v>
      </c>
      <c r="G21" s="107">
        <v>4</v>
      </c>
      <c r="H21" s="108">
        <f t="shared" si="0"/>
        <v>4</v>
      </c>
      <c r="I21" s="141" t="str">
        <f t="shared" si="1"/>
        <v>P2</v>
      </c>
      <c r="J21" s="142" t="s">
        <v>681</v>
      </c>
      <c r="K21" s="106" t="s">
        <v>1719</v>
      </c>
      <c r="L21" s="106"/>
      <c r="M21" s="106" t="s">
        <v>683</v>
      </c>
      <c r="N21" s="106" t="s">
        <v>560</v>
      </c>
      <c r="O21" s="111" t="s">
        <v>1583</v>
      </c>
      <c r="P21" s="111" t="s">
        <v>1584</v>
      </c>
      <c r="Q21" s="143" t="s">
        <v>684</v>
      </c>
      <c r="R21" s="120" t="s">
        <v>361</v>
      </c>
      <c r="S21" s="144" t="s">
        <v>685</v>
      </c>
      <c r="T21" s="126" t="s">
        <v>661</v>
      </c>
      <c r="U21" s="104" t="s">
        <v>292</v>
      </c>
      <c r="V21" s="104" t="s">
        <v>421</v>
      </c>
      <c r="W21" s="104" t="s">
        <v>537</v>
      </c>
      <c r="X21" s="107" t="s">
        <v>686</v>
      </c>
      <c r="Y21" s="106"/>
      <c r="Z21" s="114" t="s">
        <v>571</v>
      </c>
      <c r="AA21" s="114" t="s">
        <v>571</v>
      </c>
      <c r="AB21" s="114" t="s">
        <v>571</v>
      </c>
      <c r="AC21" s="114" t="s">
        <v>571</v>
      </c>
      <c r="AD21" s="115" t="s">
        <v>687</v>
      </c>
      <c r="AE21" s="115" t="s">
        <v>575</v>
      </c>
      <c r="AF21" s="115" t="s">
        <v>575</v>
      </c>
      <c r="AG21" s="115" t="s">
        <v>575</v>
      </c>
      <c r="AH21" s="116" t="s">
        <v>688</v>
      </c>
      <c r="AI21" s="116" t="s">
        <v>542</v>
      </c>
      <c r="AJ21" s="116" t="s">
        <v>542</v>
      </c>
      <c r="AK21" s="116" t="s">
        <v>542</v>
      </c>
      <c r="AL21" s="117" t="s">
        <v>689</v>
      </c>
      <c r="AM21" s="117" t="s">
        <v>292</v>
      </c>
      <c r="AN21" s="117" t="s">
        <v>292</v>
      </c>
      <c r="AO21" s="117" t="s">
        <v>292</v>
      </c>
      <c r="AP21" s="118" t="s">
        <v>527</v>
      </c>
      <c r="AQ21" s="158" t="s">
        <v>1612</v>
      </c>
      <c r="AR21" s="89"/>
      <c r="AS21" s="164" t="s">
        <v>1633</v>
      </c>
      <c r="AT21" s="158" t="s">
        <v>1617</v>
      </c>
    </row>
    <row r="22" spans="1:46" ht="67.5" customHeight="1" x14ac:dyDescent="0.25">
      <c r="A22" s="131">
        <v>17</v>
      </c>
      <c r="B22" s="106" t="s">
        <v>251</v>
      </c>
      <c r="C22" s="106" t="s">
        <v>690</v>
      </c>
      <c r="D22" s="107">
        <v>4</v>
      </c>
      <c r="E22" s="107">
        <v>4</v>
      </c>
      <c r="F22" s="107">
        <v>4</v>
      </c>
      <c r="G22" s="107">
        <v>3</v>
      </c>
      <c r="H22" s="108">
        <f t="shared" si="0"/>
        <v>3.75</v>
      </c>
      <c r="I22" s="141" t="str">
        <f t="shared" si="1"/>
        <v>P2</v>
      </c>
      <c r="J22" s="145" t="s">
        <v>692</v>
      </c>
      <c r="K22" s="106" t="s">
        <v>693</v>
      </c>
      <c r="L22" s="106" t="s">
        <v>694</v>
      </c>
      <c r="M22" s="106" t="s">
        <v>695</v>
      </c>
      <c r="N22" s="106" t="s">
        <v>533</v>
      </c>
      <c r="O22" s="111" t="s">
        <v>1585</v>
      </c>
      <c r="P22" s="111" t="s">
        <v>1576</v>
      </c>
      <c r="Q22" s="106" t="s">
        <v>690</v>
      </c>
      <c r="R22" s="112" t="s">
        <v>284</v>
      </c>
      <c r="S22" s="106" t="s">
        <v>696</v>
      </c>
      <c r="T22" s="146" t="s">
        <v>698</v>
      </c>
      <c r="U22" s="104" t="s">
        <v>292</v>
      </c>
      <c r="V22" s="104" t="s">
        <v>421</v>
      </c>
      <c r="W22" s="104" t="s">
        <v>699</v>
      </c>
      <c r="X22" s="104" t="s">
        <v>700</v>
      </c>
      <c r="Y22" s="106"/>
      <c r="Z22" s="114" t="s">
        <v>601</v>
      </c>
      <c r="AA22" s="114" t="s">
        <v>601</v>
      </c>
      <c r="AB22" s="114" t="s">
        <v>601</v>
      </c>
      <c r="AC22" s="114" t="s">
        <v>602</v>
      </c>
      <c r="AD22" s="115" t="s">
        <v>603</v>
      </c>
      <c r="AE22" s="115" t="s">
        <v>603</v>
      </c>
      <c r="AF22" s="115" t="s">
        <v>603</v>
      </c>
      <c r="AG22" s="115" t="s">
        <v>603</v>
      </c>
      <c r="AH22" s="116" t="s">
        <v>605</v>
      </c>
      <c r="AI22" s="116" t="s">
        <v>605</v>
      </c>
      <c r="AJ22" s="116" t="s">
        <v>605</v>
      </c>
      <c r="AK22" s="116" t="s">
        <v>605</v>
      </c>
      <c r="AL22" s="117" t="s">
        <v>292</v>
      </c>
      <c r="AM22" s="117" t="s">
        <v>292</v>
      </c>
      <c r="AN22" s="117" t="s">
        <v>292</v>
      </c>
      <c r="AO22" s="117" t="s">
        <v>292</v>
      </c>
      <c r="AP22" s="118" t="s">
        <v>527</v>
      </c>
      <c r="AQ22" s="158" t="s">
        <v>1612</v>
      </c>
      <c r="AR22" s="89"/>
      <c r="AS22" s="164" t="s">
        <v>1634</v>
      </c>
      <c r="AT22" s="158" t="s">
        <v>1617</v>
      </c>
    </row>
    <row r="23" spans="1:46" ht="67.5" customHeight="1" x14ac:dyDescent="0.25">
      <c r="A23" s="104">
        <v>18</v>
      </c>
      <c r="B23" s="106" t="s">
        <v>255</v>
      </c>
      <c r="C23" s="106" t="s">
        <v>703</v>
      </c>
      <c r="D23" s="107">
        <v>4</v>
      </c>
      <c r="E23" s="107">
        <v>3</v>
      </c>
      <c r="F23" s="107">
        <v>4</v>
      </c>
      <c r="G23" s="107">
        <v>3</v>
      </c>
      <c r="H23" s="108">
        <f t="shared" si="0"/>
        <v>3.55</v>
      </c>
      <c r="I23" s="141" t="str">
        <f t="shared" si="1"/>
        <v>P2</v>
      </c>
      <c r="J23" s="128" t="s">
        <v>615</v>
      </c>
      <c r="K23" s="106" t="s">
        <v>704</v>
      </c>
      <c r="L23" s="106" t="s">
        <v>705</v>
      </c>
      <c r="M23" s="106" t="s">
        <v>706</v>
      </c>
      <c r="N23" s="106" t="s">
        <v>707</v>
      </c>
      <c r="O23" s="111" t="s">
        <v>1586</v>
      </c>
      <c r="P23" s="111"/>
      <c r="Q23" s="106" t="s">
        <v>703</v>
      </c>
      <c r="R23" s="147" t="s">
        <v>489</v>
      </c>
      <c r="S23" s="106" t="s">
        <v>708</v>
      </c>
      <c r="T23" s="113" t="s">
        <v>289</v>
      </c>
      <c r="U23" s="104" t="s">
        <v>292</v>
      </c>
      <c r="V23" s="104" t="s">
        <v>295</v>
      </c>
      <c r="W23" s="104" t="s">
        <v>709</v>
      </c>
      <c r="X23" s="104" t="s">
        <v>710</v>
      </c>
      <c r="Y23" s="106"/>
      <c r="Z23" s="114" t="s">
        <v>301</v>
      </c>
      <c r="AA23" s="114" t="s">
        <v>301</v>
      </c>
      <c r="AB23" s="114" t="s">
        <v>711</v>
      </c>
      <c r="AC23" s="114" t="s">
        <v>711</v>
      </c>
      <c r="AD23" s="115" t="s">
        <v>655</v>
      </c>
      <c r="AE23" s="115" t="s">
        <v>541</v>
      </c>
      <c r="AF23" s="115" t="s">
        <v>541</v>
      </c>
      <c r="AG23" s="115" t="s">
        <v>541</v>
      </c>
      <c r="AH23" s="116" t="s">
        <v>712</v>
      </c>
      <c r="AI23" s="116" t="s">
        <v>712</v>
      </c>
      <c r="AJ23" s="116" t="s">
        <v>712</v>
      </c>
      <c r="AK23" s="116" t="s">
        <v>712</v>
      </c>
      <c r="AL23" s="117" t="s">
        <v>292</v>
      </c>
      <c r="AM23" s="117" t="s">
        <v>292</v>
      </c>
      <c r="AN23" s="117" t="s">
        <v>292</v>
      </c>
      <c r="AO23" s="117" t="s">
        <v>292</v>
      </c>
      <c r="AP23" s="118" t="s">
        <v>527</v>
      </c>
      <c r="AQ23" s="158" t="s">
        <v>1612</v>
      </c>
      <c r="AR23" s="89"/>
      <c r="AS23" s="164" t="s">
        <v>1635</v>
      </c>
      <c r="AT23" s="158" t="s">
        <v>1617</v>
      </c>
    </row>
    <row r="24" spans="1:46" ht="67.5" customHeight="1" x14ac:dyDescent="0.25">
      <c r="A24" s="104">
        <v>19</v>
      </c>
      <c r="B24" s="106" t="s">
        <v>310</v>
      </c>
      <c r="C24" s="106" t="s">
        <v>713</v>
      </c>
      <c r="D24" s="107">
        <v>3</v>
      </c>
      <c r="E24" s="107">
        <v>4</v>
      </c>
      <c r="F24" s="107">
        <v>3</v>
      </c>
      <c r="G24" s="107">
        <v>3</v>
      </c>
      <c r="H24" s="108">
        <f t="shared" si="0"/>
        <v>3.2</v>
      </c>
      <c r="I24" s="141" t="str">
        <f t="shared" si="1"/>
        <v>P2</v>
      </c>
      <c r="J24" s="125" t="s">
        <v>529</v>
      </c>
      <c r="K24" s="106" t="s">
        <v>530</v>
      </c>
      <c r="L24" s="106" t="s">
        <v>714</v>
      </c>
      <c r="M24" s="106" t="s">
        <v>715</v>
      </c>
      <c r="N24" s="106" t="s">
        <v>716</v>
      </c>
      <c r="O24" s="111" t="s">
        <v>1587</v>
      </c>
      <c r="P24" s="111"/>
      <c r="Q24" s="106" t="s">
        <v>713</v>
      </c>
      <c r="R24" s="147" t="s">
        <v>489</v>
      </c>
      <c r="S24" s="106" t="s">
        <v>717</v>
      </c>
      <c r="T24" s="121" t="s">
        <v>367</v>
      </c>
      <c r="U24" s="104" t="s">
        <v>292</v>
      </c>
      <c r="V24" s="104" t="s">
        <v>421</v>
      </c>
      <c r="W24" s="104" t="s">
        <v>376</v>
      </c>
      <c r="X24" s="104" t="s">
        <v>718</v>
      </c>
      <c r="Y24" s="106"/>
      <c r="Z24" s="114" t="s">
        <v>301</v>
      </c>
      <c r="AA24" s="114" t="s">
        <v>301</v>
      </c>
      <c r="AB24" s="114" t="s">
        <v>719</v>
      </c>
      <c r="AC24" s="114" t="s">
        <v>719</v>
      </c>
      <c r="AD24" s="115" t="s">
        <v>642</v>
      </c>
      <c r="AE24" s="115" t="s">
        <v>720</v>
      </c>
      <c r="AF24" s="115" t="s">
        <v>720</v>
      </c>
      <c r="AG24" s="115" t="s">
        <v>720</v>
      </c>
      <c r="AH24" s="116" t="s">
        <v>721</v>
      </c>
      <c r="AI24" s="116" t="s">
        <v>721</v>
      </c>
      <c r="AJ24" s="116" t="s">
        <v>721</v>
      </c>
      <c r="AK24" s="116" t="s">
        <v>721</v>
      </c>
      <c r="AL24" s="117" t="s">
        <v>292</v>
      </c>
      <c r="AM24" s="117" t="s">
        <v>292</v>
      </c>
      <c r="AN24" s="117" t="s">
        <v>292</v>
      </c>
      <c r="AO24" s="117" t="s">
        <v>292</v>
      </c>
      <c r="AP24" s="118" t="s">
        <v>527</v>
      </c>
      <c r="AQ24" s="158" t="s">
        <v>1612</v>
      </c>
      <c r="AR24" s="89"/>
      <c r="AS24" s="164" t="s">
        <v>1636</v>
      </c>
      <c r="AT24" s="158" t="s">
        <v>1617</v>
      </c>
    </row>
    <row r="25" spans="1:46" ht="67.5" customHeight="1" x14ac:dyDescent="0.25">
      <c r="A25" s="131">
        <v>20</v>
      </c>
      <c r="B25" s="106" t="s">
        <v>316</v>
      </c>
      <c r="C25" s="106" t="s">
        <v>657</v>
      </c>
      <c r="D25" s="107">
        <v>4</v>
      </c>
      <c r="E25" s="107">
        <v>4</v>
      </c>
      <c r="F25" s="107">
        <v>4</v>
      </c>
      <c r="G25" s="107">
        <v>3</v>
      </c>
      <c r="H25" s="108">
        <f t="shared" si="0"/>
        <v>3.75</v>
      </c>
      <c r="I25" s="141" t="str">
        <f t="shared" si="1"/>
        <v>P2</v>
      </c>
      <c r="J25" s="125" t="s">
        <v>529</v>
      </c>
      <c r="K25" s="106" t="s">
        <v>530</v>
      </c>
      <c r="L25" s="106" t="s">
        <v>673</v>
      </c>
      <c r="M25" s="106" t="s">
        <v>674</v>
      </c>
      <c r="N25" s="106" t="s">
        <v>533</v>
      </c>
      <c r="O25" s="111" t="s">
        <v>1577</v>
      </c>
      <c r="P25" s="111"/>
      <c r="Q25" s="106" t="s">
        <v>657</v>
      </c>
      <c r="R25" s="124" t="s">
        <v>534</v>
      </c>
      <c r="S25" s="106" t="s">
        <v>675</v>
      </c>
      <c r="T25" s="126" t="s">
        <v>536</v>
      </c>
      <c r="U25" s="104" t="s">
        <v>292</v>
      </c>
      <c r="V25" s="104" t="s">
        <v>470</v>
      </c>
      <c r="W25" s="104" t="s">
        <v>663</v>
      </c>
      <c r="X25" s="104" t="s">
        <v>676</v>
      </c>
      <c r="Y25" s="106"/>
      <c r="Z25" s="114" t="s">
        <v>383</v>
      </c>
      <c r="AA25" s="114" t="s">
        <v>383</v>
      </c>
      <c r="AB25" s="114" t="s">
        <v>677</v>
      </c>
      <c r="AC25" s="114" t="s">
        <v>677</v>
      </c>
      <c r="AD25" s="115" t="s">
        <v>678</v>
      </c>
      <c r="AE25" s="115" t="s">
        <v>541</v>
      </c>
      <c r="AF25" s="115" t="s">
        <v>541</v>
      </c>
      <c r="AG25" s="115" t="s">
        <v>541</v>
      </c>
      <c r="AH25" s="116" t="s">
        <v>679</v>
      </c>
      <c r="AI25" s="116" t="s">
        <v>679</v>
      </c>
      <c r="AJ25" s="116" t="s">
        <v>679</v>
      </c>
      <c r="AK25" s="116" t="s">
        <v>679</v>
      </c>
      <c r="AL25" s="117" t="s">
        <v>292</v>
      </c>
      <c r="AM25" s="117" t="s">
        <v>292</v>
      </c>
      <c r="AN25" s="117" t="s">
        <v>292</v>
      </c>
      <c r="AO25" s="117" t="s">
        <v>292</v>
      </c>
      <c r="AP25" s="118" t="s">
        <v>527</v>
      </c>
      <c r="AQ25" s="158" t="s">
        <v>1612</v>
      </c>
      <c r="AR25" s="89"/>
      <c r="AS25" s="164" t="s">
        <v>1637</v>
      </c>
      <c r="AT25" s="158" t="s">
        <v>1617</v>
      </c>
    </row>
    <row r="26" spans="1:46" ht="67.5" customHeight="1" x14ac:dyDescent="0.25">
      <c r="A26" s="104">
        <v>21</v>
      </c>
      <c r="B26" s="106" t="s">
        <v>722</v>
      </c>
      <c r="C26" s="106" t="s">
        <v>723</v>
      </c>
      <c r="D26" s="107">
        <v>4</v>
      </c>
      <c r="E26" s="107">
        <v>4</v>
      </c>
      <c r="F26" s="107">
        <v>4</v>
      </c>
      <c r="G26" s="107">
        <v>4</v>
      </c>
      <c r="H26" s="108">
        <f t="shared" si="0"/>
        <v>4</v>
      </c>
      <c r="I26" s="141" t="str">
        <f t="shared" si="1"/>
        <v>P2</v>
      </c>
      <c r="J26" s="119" t="s">
        <v>346</v>
      </c>
      <c r="K26" s="106" t="s">
        <v>724</v>
      </c>
      <c r="L26" s="106"/>
      <c r="M26" s="106" t="s">
        <v>725</v>
      </c>
      <c r="N26" s="106" t="s">
        <v>726</v>
      </c>
      <c r="O26" s="111" t="s">
        <v>1588</v>
      </c>
      <c r="P26" s="111" t="s">
        <v>1574</v>
      </c>
      <c r="Q26" s="106" t="s">
        <v>723</v>
      </c>
      <c r="R26" s="127" t="s">
        <v>361</v>
      </c>
      <c r="S26" s="106" t="s">
        <v>727</v>
      </c>
      <c r="T26" s="113" t="s">
        <v>289</v>
      </c>
      <c r="U26" s="104" t="s">
        <v>292</v>
      </c>
      <c r="V26" s="104" t="s">
        <v>295</v>
      </c>
      <c r="W26" s="104" t="s">
        <v>699</v>
      </c>
      <c r="X26" s="104" t="s">
        <v>728</v>
      </c>
      <c r="Y26" s="106"/>
      <c r="Z26" s="114" t="s">
        <v>301</v>
      </c>
      <c r="AA26" s="114" t="s">
        <v>301</v>
      </c>
      <c r="AB26" s="114" t="s">
        <v>723</v>
      </c>
      <c r="AC26" s="114" t="s">
        <v>723</v>
      </c>
      <c r="AD26" s="115" t="s">
        <v>729</v>
      </c>
      <c r="AE26" s="115" t="s">
        <v>730</v>
      </c>
      <c r="AF26" s="115" t="s">
        <v>730</v>
      </c>
      <c r="AG26" s="115" t="s">
        <v>730</v>
      </c>
      <c r="AH26" s="116" t="s">
        <v>731</v>
      </c>
      <c r="AI26" s="116" t="s">
        <v>731</v>
      </c>
      <c r="AJ26" s="116" t="s">
        <v>731</v>
      </c>
      <c r="AK26" s="116" t="s">
        <v>731</v>
      </c>
      <c r="AL26" s="117" t="s">
        <v>292</v>
      </c>
      <c r="AM26" s="117" t="s">
        <v>292</v>
      </c>
      <c r="AN26" s="117" t="s">
        <v>292</v>
      </c>
      <c r="AO26" s="117" t="s">
        <v>292</v>
      </c>
      <c r="AP26" s="118" t="s">
        <v>527</v>
      </c>
      <c r="AQ26" s="158" t="s">
        <v>1612</v>
      </c>
      <c r="AR26" s="89"/>
      <c r="AS26" s="164" t="s">
        <v>1638</v>
      </c>
      <c r="AT26" s="158" t="s">
        <v>1617</v>
      </c>
    </row>
    <row r="27" spans="1:46" ht="67.5" customHeight="1" x14ac:dyDescent="0.25">
      <c r="A27" s="104">
        <v>22</v>
      </c>
      <c r="B27" s="106" t="s">
        <v>362</v>
      </c>
      <c r="C27" s="106" t="s">
        <v>732</v>
      </c>
      <c r="D27" s="107">
        <v>4</v>
      </c>
      <c r="E27" s="107">
        <v>4</v>
      </c>
      <c r="F27" s="107">
        <v>4</v>
      </c>
      <c r="G27" s="107">
        <v>4</v>
      </c>
      <c r="H27" s="108">
        <f t="shared" si="0"/>
        <v>4</v>
      </c>
      <c r="I27" s="141" t="str">
        <f t="shared" si="1"/>
        <v>P2</v>
      </c>
      <c r="J27" s="119" t="s">
        <v>346</v>
      </c>
      <c r="K27" s="106" t="s">
        <v>733</v>
      </c>
      <c r="L27" s="106" t="s">
        <v>734</v>
      </c>
      <c r="M27" s="106" t="s">
        <v>735</v>
      </c>
      <c r="N27" s="106" t="s">
        <v>726</v>
      </c>
      <c r="O27" s="111" t="s">
        <v>1588</v>
      </c>
      <c r="P27" s="111" t="s">
        <v>1574</v>
      </c>
      <c r="Q27" s="106" t="s">
        <v>732</v>
      </c>
      <c r="R27" s="127" t="s">
        <v>361</v>
      </c>
      <c r="S27" s="106" t="s">
        <v>727</v>
      </c>
      <c r="T27" s="113" t="s">
        <v>289</v>
      </c>
      <c r="U27" s="104" t="s">
        <v>292</v>
      </c>
      <c r="V27" s="104" t="s">
        <v>295</v>
      </c>
      <c r="W27" s="104" t="s">
        <v>699</v>
      </c>
      <c r="X27" s="104" t="s">
        <v>732</v>
      </c>
      <c r="Y27" s="106"/>
      <c r="Z27" s="114" t="s">
        <v>301</v>
      </c>
      <c r="AA27" s="114" t="s">
        <v>301</v>
      </c>
      <c r="AB27" s="114" t="s">
        <v>723</v>
      </c>
      <c r="AC27" s="114" t="s">
        <v>723</v>
      </c>
      <c r="AD27" s="115" t="s">
        <v>729</v>
      </c>
      <c r="AE27" s="115" t="s">
        <v>730</v>
      </c>
      <c r="AF27" s="115" t="s">
        <v>730</v>
      </c>
      <c r="AG27" s="115" t="s">
        <v>730</v>
      </c>
      <c r="AH27" s="116" t="s">
        <v>731</v>
      </c>
      <c r="AI27" s="116" t="s">
        <v>731</v>
      </c>
      <c r="AJ27" s="116" t="s">
        <v>731</v>
      </c>
      <c r="AK27" s="116" t="s">
        <v>731</v>
      </c>
      <c r="AL27" s="117" t="s">
        <v>292</v>
      </c>
      <c r="AM27" s="117" t="s">
        <v>292</v>
      </c>
      <c r="AN27" s="117" t="s">
        <v>292</v>
      </c>
      <c r="AO27" s="117" t="s">
        <v>292</v>
      </c>
      <c r="AP27" s="118" t="s">
        <v>527</v>
      </c>
      <c r="AQ27" s="158" t="s">
        <v>1612</v>
      </c>
      <c r="AR27" s="89"/>
      <c r="AS27" s="164" t="s">
        <v>1639</v>
      </c>
      <c r="AT27" s="158" t="s">
        <v>1617</v>
      </c>
    </row>
    <row r="28" spans="1:46" ht="67.5" customHeight="1" x14ac:dyDescent="0.25">
      <c r="A28" s="131">
        <v>23</v>
      </c>
      <c r="B28" s="106" t="s">
        <v>371</v>
      </c>
      <c r="C28" s="106" t="s">
        <v>736</v>
      </c>
      <c r="D28" s="107">
        <v>4</v>
      </c>
      <c r="E28" s="107">
        <v>2</v>
      </c>
      <c r="F28" s="107">
        <v>4</v>
      </c>
      <c r="G28" s="107">
        <v>3</v>
      </c>
      <c r="H28" s="108">
        <f t="shared" si="0"/>
        <v>3.35</v>
      </c>
      <c r="I28" s="141" t="str">
        <f t="shared" si="1"/>
        <v>P2</v>
      </c>
      <c r="J28" s="128" t="s">
        <v>615</v>
      </c>
      <c r="K28" s="106" t="s">
        <v>616</v>
      </c>
      <c r="L28" s="106" t="s">
        <v>737</v>
      </c>
      <c r="M28" s="106" t="s">
        <v>738</v>
      </c>
      <c r="N28" s="106" t="s">
        <v>619</v>
      </c>
      <c r="O28" s="111" t="s">
        <v>1589</v>
      </c>
      <c r="P28" s="111" t="s">
        <v>1576</v>
      </c>
      <c r="Q28" s="106" t="s">
        <v>736</v>
      </c>
      <c r="R28" s="147" t="s">
        <v>622</v>
      </c>
      <c r="S28" s="106" t="s">
        <v>739</v>
      </c>
      <c r="T28" s="113" t="s">
        <v>289</v>
      </c>
      <c r="U28" s="104" t="s">
        <v>292</v>
      </c>
      <c r="V28" s="104" t="s">
        <v>421</v>
      </c>
      <c r="W28" s="104" t="s">
        <v>699</v>
      </c>
      <c r="X28" s="104" t="s">
        <v>740</v>
      </c>
      <c r="Y28" s="106"/>
      <c r="Z28" s="114" t="s">
        <v>741</v>
      </c>
      <c r="AA28" s="114" t="s">
        <v>741</v>
      </c>
      <c r="AB28" s="114" t="s">
        <v>741</v>
      </c>
      <c r="AC28" s="114" t="s">
        <v>742</v>
      </c>
      <c r="AD28" s="115" t="s">
        <v>743</v>
      </c>
      <c r="AE28" s="115" t="s">
        <v>744</v>
      </c>
      <c r="AF28" s="115" t="s">
        <v>744</v>
      </c>
      <c r="AG28" s="115" t="s">
        <v>744</v>
      </c>
      <c r="AH28" s="116" t="s">
        <v>745</v>
      </c>
      <c r="AI28" s="116" t="s">
        <v>745</v>
      </c>
      <c r="AJ28" s="116" t="s">
        <v>745</v>
      </c>
      <c r="AK28" s="116" t="s">
        <v>745</v>
      </c>
      <c r="AL28" s="117" t="s">
        <v>292</v>
      </c>
      <c r="AM28" s="117" t="s">
        <v>292</v>
      </c>
      <c r="AN28" s="117" t="s">
        <v>292</v>
      </c>
      <c r="AO28" s="117" t="s">
        <v>292</v>
      </c>
      <c r="AP28" s="118" t="s">
        <v>527</v>
      </c>
      <c r="AQ28" s="158" t="s">
        <v>1612</v>
      </c>
      <c r="AR28" s="89"/>
      <c r="AS28" s="164" t="s">
        <v>1640</v>
      </c>
      <c r="AT28" s="158" t="s">
        <v>1617</v>
      </c>
    </row>
    <row r="29" spans="1:46" ht="67.5" customHeight="1" x14ac:dyDescent="0.25">
      <c r="A29" s="104">
        <v>24</v>
      </c>
      <c r="B29" s="106" t="s">
        <v>375</v>
      </c>
      <c r="C29" s="106" t="s">
        <v>746</v>
      </c>
      <c r="D29" s="107">
        <v>3</v>
      </c>
      <c r="E29" s="107">
        <v>4</v>
      </c>
      <c r="F29" s="107">
        <v>3</v>
      </c>
      <c r="G29" s="107">
        <v>3</v>
      </c>
      <c r="H29" s="108">
        <f t="shared" si="0"/>
        <v>3.2</v>
      </c>
      <c r="I29" s="141" t="str">
        <f t="shared" si="1"/>
        <v>P2</v>
      </c>
      <c r="J29" s="128" t="s">
        <v>615</v>
      </c>
      <c r="K29" s="106" t="s">
        <v>747</v>
      </c>
      <c r="L29" s="106" t="s">
        <v>377</v>
      </c>
      <c r="M29" s="106" t="s">
        <v>748</v>
      </c>
      <c r="N29" s="106" t="s">
        <v>619</v>
      </c>
      <c r="O29" s="111" t="s">
        <v>1590</v>
      </c>
      <c r="P29" s="111" t="s">
        <v>1576</v>
      </c>
      <c r="Q29" s="106" t="s">
        <v>746</v>
      </c>
      <c r="R29" s="129" t="s">
        <v>622</v>
      </c>
      <c r="S29" s="106" t="s">
        <v>637</v>
      </c>
      <c r="T29" s="121" t="s">
        <v>367</v>
      </c>
      <c r="U29" s="104" t="s">
        <v>292</v>
      </c>
      <c r="V29" s="104" t="s">
        <v>421</v>
      </c>
      <c r="W29" s="104" t="s">
        <v>749</v>
      </c>
      <c r="X29" s="104" t="s">
        <v>750</v>
      </c>
      <c r="Y29" s="106"/>
      <c r="Z29" s="114" t="s">
        <v>640</v>
      </c>
      <c r="AA29" s="114" t="s">
        <v>640</v>
      </c>
      <c r="AB29" s="114" t="s">
        <v>640</v>
      </c>
      <c r="AC29" s="114" t="s">
        <v>751</v>
      </c>
      <c r="AD29" s="115" t="s">
        <v>752</v>
      </c>
      <c r="AE29" s="115" t="s">
        <v>753</v>
      </c>
      <c r="AF29" s="115" t="s">
        <v>753</v>
      </c>
      <c r="AG29" s="115" t="s">
        <v>753</v>
      </c>
      <c r="AH29" s="116" t="s">
        <v>754</v>
      </c>
      <c r="AI29" s="116" t="s">
        <v>754</v>
      </c>
      <c r="AJ29" s="116" t="s">
        <v>754</v>
      </c>
      <c r="AK29" s="116" t="s">
        <v>754</v>
      </c>
      <c r="AL29" s="117" t="s">
        <v>292</v>
      </c>
      <c r="AM29" s="117" t="s">
        <v>292</v>
      </c>
      <c r="AN29" s="117" t="s">
        <v>292</v>
      </c>
      <c r="AO29" s="117" t="s">
        <v>292</v>
      </c>
      <c r="AP29" s="118" t="s">
        <v>527</v>
      </c>
      <c r="AQ29" s="158" t="s">
        <v>1612</v>
      </c>
      <c r="AR29" s="89"/>
      <c r="AS29" s="164" t="s">
        <v>1641</v>
      </c>
      <c r="AT29" s="158" t="s">
        <v>1617</v>
      </c>
    </row>
    <row r="30" spans="1:46" ht="67.5" customHeight="1" x14ac:dyDescent="0.25">
      <c r="A30" s="104">
        <v>25</v>
      </c>
      <c r="B30" s="106" t="s">
        <v>384</v>
      </c>
      <c r="C30" s="106" t="s">
        <v>746</v>
      </c>
      <c r="D30" s="107">
        <v>3</v>
      </c>
      <c r="E30" s="107">
        <v>4</v>
      </c>
      <c r="F30" s="107">
        <v>3</v>
      </c>
      <c r="G30" s="107">
        <v>3</v>
      </c>
      <c r="H30" s="108">
        <f t="shared" si="0"/>
        <v>3.2</v>
      </c>
      <c r="I30" s="141" t="str">
        <f t="shared" si="1"/>
        <v>P2</v>
      </c>
      <c r="J30" s="128" t="s">
        <v>615</v>
      </c>
      <c r="K30" s="106" t="s">
        <v>747</v>
      </c>
      <c r="L30" s="106" t="s">
        <v>377</v>
      </c>
      <c r="M30" s="106" t="s">
        <v>748</v>
      </c>
      <c r="N30" s="106" t="s">
        <v>619</v>
      </c>
      <c r="O30" s="111" t="s">
        <v>1590</v>
      </c>
      <c r="P30" s="111" t="s">
        <v>1576</v>
      </c>
      <c r="Q30" s="106" t="s">
        <v>746</v>
      </c>
      <c r="R30" s="129" t="s">
        <v>622</v>
      </c>
      <c r="S30" s="106" t="s">
        <v>637</v>
      </c>
      <c r="T30" s="121" t="s">
        <v>367</v>
      </c>
      <c r="U30" s="104" t="s">
        <v>292</v>
      </c>
      <c r="V30" s="104" t="s">
        <v>421</v>
      </c>
      <c r="W30" s="104" t="s">
        <v>749</v>
      </c>
      <c r="X30" s="104" t="s">
        <v>750</v>
      </c>
      <c r="Y30" s="106"/>
      <c r="Z30" s="114" t="s">
        <v>640</v>
      </c>
      <c r="AA30" s="114" t="s">
        <v>640</v>
      </c>
      <c r="AB30" s="114" t="s">
        <v>640</v>
      </c>
      <c r="AC30" s="114" t="s">
        <v>751</v>
      </c>
      <c r="AD30" s="115" t="s">
        <v>752</v>
      </c>
      <c r="AE30" s="115" t="s">
        <v>753</v>
      </c>
      <c r="AF30" s="115" t="s">
        <v>753</v>
      </c>
      <c r="AG30" s="115" t="s">
        <v>753</v>
      </c>
      <c r="AH30" s="116" t="s">
        <v>754</v>
      </c>
      <c r="AI30" s="116" t="s">
        <v>754</v>
      </c>
      <c r="AJ30" s="116" t="s">
        <v>754</v>
      </c>
      <c r="AK30" s="116" t="s">
        <v>754</v>
      </c>
      <c r="AL30" s="117" t="s">
        <v>292</v>
      </c>
      <c r="AM30" s="117" t="s">
        <v>292</v>
      </c>
      <c r="AN30" s="117" t="s">
        <v>292</v>
      </c>
      <c r="AO30" s="117" t="s">
        <v>292</v>
      </c>
      <c r="AP30" s="118" t="s">
        <v>527</v>
      </c>
      <c r="AQ30" s="158" t="s">
        <v>1612</v>
      </c>
      <c r="AR30" s="89"/>
      <c r="AS30" s="164" t="s">
        <v>1642</v>
      </c>
      <c r="AT30" s="158" t="s">
        <v>1617</v>
      </c>
    </row>
    <row r="31" spans="1:46" ht="67.5" customHeight="1" x14ac:dyDescent="0.25">
      <c r="A31" s="131">
        <v>26</v>
      </c>
      <c r="B31" s="106" t="s">
        <v>390</v>
      </c>
      <c r="C31" s="106" t="s">
        <v>755</v>
      </c>
      <c r="D31" s="107">
        <v>3</v>
      </c>
      <c r="E31" s="107">
        <v>4</v>
      </c>
      <c r="F31" s="107">
        <v>3</v>
      </c>
      <c r="G31" s="107">
        <v>3</v>
      </c>
      <c r="H31" s="108">
        <f t="shared" si="0"/>
        <v>3.2</v>
      </c>
      <c r="I31" s="141" t="str">
        <f t="shared" si="1"/>
        <v>P2</v>
      </c>
      <c r="J31" s="142" t="s">
        <v>681</v>
      </c>
      <c r="K31" s="106" t="s">
        <v>747</v>
      </c>
      <c r="L31" s="106" t="s">
        <v>377</v>
      </c>
      <c r="M31" s="106" t="s">
        <v>756</v>
      </c>
      <c r="N31" s="106" t="s">
        <v>619</v>
      </c>
      <c r="O31" s="111" t="s">
        <v>1590</v>
      </c>
      <c r="P31" s="111" t="s">
        <v>1591</v>
      </c>
      <c r="Q31" s="106" t="s">
        <v>755</v>
      </c>
      <c r="R31" s="129" t="s">
        <v>622</v>
      </c>
      <c r="S31" s="106" t="s">
        <v>757</v>
      </c>
      <c r="T31" s="121" t="s">
        <v>367</v>
      </c>
      <c r="U31" s="104" t="s">
        <v>292</v>
      </c>
      <c r="V31" s="104" t="s">
        <v>421</v>
      </c>
      <c r="W31" s="104" t="s">
        <v>749</v>
      </c>
      <c r="X31" s="104" t="s">
        <v>758</v>
      </c>
      <c r="Y31" s="106"/>
      <c r="Z31" s="114" t="s">
        <v>640</v>
      </c>
      <c r="AA31" s="114" t="s">
        <v>640</v>
      </c>
      <c r="AB31" s="114" t="s">
        <v>640</v>
      </c>
      <c r="AC31" s="114" t="s">
        <v>759</v>
      </c>
      <c r="AD31" s="115" t="s">
        <v>385</v>
      </c>
      <c r="AE31" s="115" t="s">
        <v>760</v>
      </c>
      <c r="AF31" s="115" t="s">
        <v>760</v>
      </c>
      <c r="AG31" s="115" t="s">
        <v>760</v>
      </c>
      <c r="AH31" s="116" t="s">
        <v>761</v>
      </c>
      <c r="AI31" s="116" t="s">
        <v>761</v>
      </c>
      <c r="AJ31" s="116" t="s">
        <v>761</v>
      </c>
      <c r="AK31" s="116" t="s">
        <v>761</v>
      </c>
      <c r="AL31" s="117" t="s">
        <v>292</v>
      </c>
      <c r="AM31" s="117" t="s">
        <v>292</v>
      </c>
      <c r="AN31" s="117" t="s">
        <v>292</v>
      </c>
      <c r="AO31" s="117" t="s">
        <v>292</v>
      </c>
      <c r="AP31" s="118" t="s">
        <v>527</v>
      </c>
      <c r="AQ31" s="158" t="s">
        <v>1612</v>
      </c>
      <c r="AR31" s="89"/>
      <c r="AS31" s="164" t="s">
        <v>1643</v>
      </c>
      <c r="AT31" s="158" t="s">
        <v>1617</v>
      </c>
    </row>
    <row r="32" spans="1:46" ht="67.5" customHeight="1" x14ac:dyDescent="0.25">
      <c r="A32" s="104">
        <v>27</v>
      </c>
      <c r="B32" s="106" t="s">
        <v>393</v>
      </c>
      <c r="C32" s="106" t="s">
        <v>755</v>
      </c>
      <c r="D32" s="107">
        <v>3</v>
      </c>
      <c r="E32" s="107">
        <v>4</v>
      </c>
      <c r="F32" s="107">
        <v>3</v>
      </c>
      <c r="G32" s="107">
        <v>3</v>
      </c>
      <c r="H32" s="108">
        <f t="shared" si="0"/>
        <v>3.2</v>
      </c>
      <c r="I32" s="141" t="str">
        <f t="shared" si="1"/>
        <v>P2</v>
      </c>
      <c r="J32" s="142" t="s">
        <v>681</v>
      </c>
      <c r="K32" s="106" t="s">
        <v>747</v>
      </c>
      <c r="L32" s="106" t="s">
        <v>377</v>
      </c>
      <c r="M32" s="106" t="s">
        <v>756</v>
      </c>
      <c r="N32" s="106" t="s">
        <v>619</v>
      </c>
      <c r="O32" s="111" t="s">
        <v>1590</v>
      </c>
      <c r="P32" s="111" t="s">
        <v>1591</v>
      </c>
      <c r="Q32" s="106" t="s">
        <v>755</v>
      </c>
      <c r="R32" s="129" t="s">
        <v>622</v>
      </c>
      <c r="S32" s="106" t="s">
        <v>757</v>
      </c>
      <c r="T32" s="121" t="s">
        <v>367</v>
      </c>
      <c r="U32" s="104" t="s">
        <v>292</v>
      </c>
      <c r="V32" s="104" t="s">
        <v>421</v>
      </c>
      <c r="W32" s="104" t="s">
        <v>749</v>
      </c>
      <c r="X32" s="104" t="s">
        <v>758</v>
      </c>
      <c r="Y32" s="106"/>
      <c r="Z32" s="114" t="s">
        <v>640</v>
      </c>
      <c r="AA32" s="114" t="s">
        <v>640</v>
      </c>
      <c r="AB32" s="114" t="s">
        <v>640</v>
      </c>
      <c r="AC32" s="114" t="s">
        <v>759</v>
      </c>
      <c r="AD32" s="115" t="s">
        <v>385</v>
      </c>
      <c r="AE32" s="115" t="s">
        <v>760</v>
      </c>
      <c r="AF32" s="115" t="s">
        <v>760</v>
      </c>
      <c r="AG32" s="115" t="s">
        <v>760</v>
      </c>
      <c r="AH32" s="116" t="s">
        <v>761</v>
      </c>
      <c r="AI32" s="116" t="s">
        <v>761</v>
      </c>
      <c r="AJ32" s="116" t="s">
        <v>761</v>
      </c>
      <c r="AK32" s="116" t="s">
        <v>761</v>
      </c>
      <c r="AL32" s="117" t="s">
        <v>292</v>
      </c>
      <c r="AM32" s="117" t="s">
        <v>292</v>
      </c>
      <c r="AN32" s="117" t="s">
        <v>292</v>
      </c>
      <c r="AO32" s="117" t="s">
        <v>292</v>
      </c>
      <c r="AP32" s="118" t="s">
        <v>527</v>
      </c>
      <c r="AQ32" s="158" t="s">
        <v>1612</v>
      </c>
      <c r="AR32" s="89"/>
      <c r="AS32" s="164" t="s">
        <v>1644</v>
      </c>
      <c r="AT32" s="158" t="s">
        <v>1617</v>
      </c>
    </row>
    <row r="33" spans="1:46" ht="67.5" customHeight="1" x14ac:dyDescent="0.25">
      <c r="A33" s="104">
        <v>28</v>
      </c>
      <c r="B33" s="106" t="s">
        <v>403</v>
      </c>
      <c r="C33" s="162" t="s">
        <v>762</v>
      </c>
      <c r="D33" s="107">
        <v>3</v>
      </c>
      <c r="E33" s="107">
        <v>4</v>
      </c>
      <c r="F33" s="107">
        <v>3</v>
      </c>
      <c r="G33" s="107">
        <v>3</v>
      </c>
      <c r="H33" s="108">
        <f t="shared" si="0"/>
        <v>3.2</v>
      </c>
      <c r="I33" s="141" t="str">
        <f t="shared" si="1"/>
        <v>P2</v>
      </c>
      <c r="J33" s="130" t="s">
        <v>615</v>
      </c>
      <c r="K33" s="106" t="s">
        <v>762</v>
      </c>
      <c r="L33" s="106"/>
      <c r="M33" s="106" t="s">
        <v>763</v>
      </c>
      <c r="N33" s="106" t="s">
        <v>560</v>
      </c>
      <c r="O33" s="111" t="s">
        <v>1578</v>
      </c>
      <c r="P33" s="111" t="s">
        <v>1576</v>
      </c>
      <c r="Q33" s="106" t="s">
        <v>764</v>
      </c>
      <c r="R33" s="112" t="s">
        <v>361</v>
      </c>
      <c r="S33" s="106" t="s">
        <v>765</v>
      </c>
      <c r="T33" s="121" t="s">
        <v>367</v>
      </c>
      <c r="U33" s="104" t="s">
        <v>292</v>
      </c>
      <c r="V33" s="104" t="s">
        <v>421</v>
      </c>
      <c r="W33" s="104" t="s">
        <v>423</v>
      </c>
      <c r="X33" s="104" t="s">
        <v>766</v>
      </c>
      <c r="Y33" s="123"/>
      <c r="Z33" s="114" t="s">
        <v>380</v>
      </c>
      <c r="AA33" s="114" t="s">
        <v>380</v>
      </c>
      <c r="AB33" s="114" t="s">
        <v>767</v>
      </c>
      <c r="AC33" s="114" t="s">
        <v>767</v>
      </c>
      <c r="AD33" s="115" t="s">
        <v>768</v>
      </c>
      <c r="AE33" s="115" t="s">
        <v>768</v>
      </c>
      <c r="AF33" s="115" t="s">
        <v>768</v>
      </c>
      <c r="AG33" s="115" t="s">
        <v>768</v>
      </c>
      <c r="AH33" s="116" t="s">
        <v>578</v>
      </c>
      <c r="AI33" s="116" t="s">
        <v>578</v>
      </c>
      <c r="AJ33" s="116" t="s">
        <v>578</v>
      </c>
      <c r="AK33" s="116" t="s">
        <v>578</v>
      </c>
      <c r="AL33" s="117" t="s">
        <v>292</v>
      </c>
      <c r="AM33" s="117" t="s">
        <v>292</v>
      </c>
      <c r="AN33" s="117" t="s">
        <v>292</v>
      </c>
      <c r="AO33" s="117" t="s">
        <v>292</v>
      </c>
      <c r="AP33" s="118" t="s">
        <v>527</v>
      </c>
      <c r="AQ33" s="158" t="s">
        <v>1612</v>
      </c>
      <c r="AR33" s="89"/>
      <c r="AS33" s="164" t="s">
        <v>1645</v>
      </c>
      <c r="AT33" s="158" t="s">
        <v>1617</v>
      </c>
    </row>
    <row r="34" spans="1:46" ht="67.5" customHeight="1" x14ac:dyDescent="0.25">
      <c r="A34" s="131">
        <v>29</v>
      </c>
      <c r="B34" s="106" t="s">
        <v>408</v>
      </c>
      <c r="C34" s="106" t="s">
        <v>769</v>
      </c>
      <c r="D34" s="107">
        <v>3</v>
      </c>
      <c r="E34" s="107">
        <v>4</v>
      </c>
      <c r="F34" s="107">
        <v>3</v>
      </c>
      <c r="G34" s="107">
        <v>3</v>
      </c>
      <c r="H34" s="108">
        <f t="shared" si="0"/>
        <v>3.2</v>
      </c>
      <c r="I34" s="141" t="str">
        <f t="shared" si="1"/>
        <v>P2</v>
      </c>
      <c r="J34" s="128" t="s">
        <v>346</v>
      </c>
      <c r="K34" s="106" t="s">
        <v>774</v>
      </c>
      <c r="L34" s="106" t="s">
        <v>409</v>
      </c>
      <c r="M34" s="106" t="s">
        <v>777</v>
      </c>
      <c r="N34" s="106" t="s">
        <v>560</v>
      </c>
      <c r="O34" s="111" t="s">
        <v>1578</v>
      </c>
      <c r="P34" s="111"/>
      <c r="Q34" s="106" t="s">
        <v>769</v>
      </c>
      <c r="R34" s="122" t="s">
        <v>417</v>
      </c>
      <c r="S34" s="106" t="s">
        <v>780</v>
      </c>
      <c r="T34" s="121" t="s">
        <v>367</v>
      </c>
      <c r="U34" s="104" t="s">
        <v>292</v>
      </c>
      <c r="V34" s="104" t="s">
        <v>470</v>
      </c>
      <c r="W34" s="104" t="s">
        <v>376</v>
      </c>
      <c r="X34" s="104" t="s">
        <v>781</v>
      </c>
      <c r="Y34" s="123" t="s">
        <v>782</v>
      </c>
      <c r="Z34" s="114" t="s">
        <v>380</v>
      </c>
      <c r="AA34" s="114" t="s">
        <v>380</v>
      </c>
      <c r="AB34" s="114" t="s">
        <v>640</v>
      </c>
      <c r="AC34" s="114" t="s">
        <v>428</v>
      </c>
      <c r="AD34" s="115" t="s">
        <v>783</v>
      </c>
      <c r="AE34" s="115" t="s">
        <v>386</v>
      </c>
      <c r="AF34" s="115" t="s">
        <v>386</v>
      </c>
      <c r="AG34" s="115" t="s">
        <v>386</v>
      </c>
      <c r="AH34" s="116" t="s">
        <v>784</v>
      </c>
      <c r="AI34" s="116" t="s">
        <v>784</v>
      </c>
      <c r="AJ34" s="116" t="s">
        <v>784</v>
      </c>
      <c r="AK34" s="116" t="s">
        <v>784</v>
      </c>
      <c r="AL34" s="117" t="s">
        <v>292</v>
      </c>
      <c r="AM34" s="117" t="s">
        <v>292</v>
      </c>
      <c r="AN34" s="117" t="s">
        <v>292</v>
      </c>
      <c r="AO34" s="117" t="s">
        <v>292</v>
      </c>
      <c r="AP34" s="118" t="s">
        <v>527</v>
      </c>
      <c r="AQ34" s="158" t="s">
        <v>1612</v>
      </c>
      <c r="AR34" s="89"/>
      <c r="AS34" s="164" t="s">
        <v>1646</v>
      </c>
      <c r="AT34" s="158" t="s">
        <v>1617</v>
      </c>
    </row>
    <row r="35" spans="1:46" ht="67.5" customHeight="1" x14ac:dyDescent="0.25">
      <c r="A35" s="104">
        <v>30</v>
      </c>
      <c r="B35" s="106" t="s">
        <v>450</v>
      </c>
      <c r="C35" s="106" t="s">
        <v>785</v>
      </c>
      <c r="D35" s="104">
        <v>4</v>
      </c>
      <c r="E35" s="104">
        <v>4</v>
      </c>
      <c r="F35" s="104">
        <v>4</v>
      </c>
      <c r="G35" s="104">
        <v>4</v>
      </c>
      <c r="H35" s="108">
        <f t="shared" si="0"/>
        <v>4</v>
      </c>
      <c r="I35" s="148" t="str">
        <f t="shared" si="1"/>
        <v>P2</v>
      </c>
      <c r="J35" s="149" t="s">
        <v>263</v>
      </c>
      <c r="K35" s="134" t="s">
        <v>786</v>
      </c>
      <c r="L35" s="106" t="s">
        <v>787</v>
      </c>
      <c r="M35" s="134" t="s">
        <v>788</v>
      </c>
      <c r="N35" s="134" t="s">
        <v>789</v>
      </c>
      <c r="O35" s="150" t="s">
        <v>1592</v>
      </c>
      <c r="P35" s="150" t="s">
        <v>1591</v>
      </c>
      <c r="Q35" s="134" t="s">
        <v>790</v>
      </c>
      <c r="R35" s="112" t="s">
        <v>361</v>
      </c>
      <c r="S35" s="134" t="s">
        <v>791</v>
      </c>
      <c r="T35" s="151" t="s">
        <v>792</v>
      </c>
      <c r="U35" s="104" t="s">
        <v>292</v>
      </c>
      <c r="V35" s="104" t="s">
        <v>470</v>
      </c>
      <c r="W35" s="136" t="s">
        <v>793</v>
      </c>
      <c r="X35" s="136" t="s">
        <v>794</v>
      </c>
      <c r="Y35" s="106"/>
      <c r="Z35" s="114" t="s">
        <v>301</v>
      </c>
      <c r="AA35" s="114" t="s">
        <v>301</v>
      </c>
      <c r="AB35" s="114" t="s">
        <v>308</v>
      </c>
      <c r="AC35" s="114" t="s">
        <v>795</v>
      </c>
      <c r="AD35" s="115" t="s">
        <v>795</v>
      </c>
      <c r="AE35" s="115" t="s">
        <v>796</v>
      </c>
      <c r="AF35" s="115" t="s">
        <v>796</v>
      </c>
      <c r="AG35" s="115" t="s">
        <v>797</v>
      </c>
      <c r="AH35" s="116" t="s">
        <v>798</v>
      </c>
      <c r="AI35" s="116" t="s">
        <v>798</v>
      </c>
      <c r="AJ35" s="116" t="s">
        <v>798</v>
      </c>
      <c r="AK35" s="116" t="s">
        <v>799</v>
      </c>
      <c r="AL35" s="117" t="s">
        <v>799</v>
      </c>
      <c r="AM35" s="117" t="s">
        <v>800</v>
      </c>
      <c r="AN35" s="117" t="s">
        <v>800</v>
      </c>
      <c r="AO35" s="117" t="s">
        <v>800</v>
      </c>
      <c r="AP35" s="152" t="s">
        <v>527</v>
      </c>
      <c r="AQ35" s="158" t="s">
        <v>1612</v>
      </c>
      <c r="AR35" s="89"/>
      <c r="AS35" s="164" t="s">
        <v>1647</v>
      </c>
      <c r="AT35" s="158" t="s">
        <v>1617</v>
      </c>
    </row>
    <row r="36" spans="1:46" ht="67.5" customHeight="1" x14ac:dyDescent="0.25">
      <c r="A36" s="104">
        <v>31</v>
      </c>
      <c r="B36" s="106" t="s">
        <v>801</v>
      </c>
      <c r="C36" s="106" t="s">
        <v>785</v>
      </c>
      <c r="D36" s="104">
        <v>5</v>
      </c>
      <c r="E36" s="104">
        <v>4</v>
      </c>
      <c r="F36" s="104">
        <v>3</v>
      </c>
      <c r="G36" s="104">
        <v>4</v>
      </c>
      <c r="H36" s="108">
        <f t="shared" si="0"/>
        <v>4.05</v>
      </c>
      <c r="I36" s="148" t="str">
        <f t="shared" si="1"/>
        <v>P2</v>
      </c>
      <c r="J36" s="149" t="s">
        <v>263</v>
      </c>
      <c r="K36" s="134" t="s">
        <v>802</v>
      </c>
      <c r="L36" s="106" t="s">
        <v>787</v>
      </c>
      <c r="M36" s="134" t="s">
        <v>803</v>
      </c>
      <c r="N36" s="134" t="s">
        <v>804</v>
      </c>
      <c r="O36" s="150" t="s">
        <v>1593</v>
      </c>
      <c r="P36" s="150"/>
      <c r="Q36" s="153"/>
      <c r="R36" s="112" t="s">
        <v>284</v>
      </c>
      <c r="S36" s="134" t="s">
        <v>805</v>
      </c>
      <c r="T36" s="151" t="s">
        <v>698</v>
      </c>
      <c r="U36" s="104" t="s">
        <v>292</v>
      </c>
      <c r="V36" s="104" t="s">
        <v>470</v>
      </c>
      <c r="W36" s="136" t="s">
        <v>806</v>
      </c>
      <c r="X36" s="136" t="s">
        <v>807</v>
      </c>
      <c r="Y36" s="106"/>
      <c r="Z36" s="114" t="s">
        <v>301</v>
      </c>
      <c r="AA36" s="114" t="s">
        <v>301</v>
      </c>
      <c r="AB36" s="114" t="s">
        <v>808</v>
      </c>
      <c r="AC36" s="114" t="s">
        <v>808</v>
      </c>
      <c r="AD36" s="115" t="s">
        <v>809</v>
      </c>
      <c r="AE36" s="115" t="s">
        <v>809</v>
      </c>
      <c r="AF36" s="115" t="s">
        <v>810</v>
      </c>
      <c r="AG36" s="115" t="s">
        <v>811</v>
      </c>
      <c r="AH36" s="116" t="s">
        <v>811</v>
      </c>
      <c r="AI36" s="116" t="s">
        <v>812</v>
      </c>
      <c r="AJ36" s="116" t="s">
        <v>813</v>
      </c>
      <c r="AK36" s="116" t="s">
        <v>814</v>
      </c>
      <c r="AL36" s="117" t="s">
        <v>814</v>
      </c>
      <c r="AM36" s="117" t="s">
        <v>799</v>
      </c>
      <c r="AN36" s="117" t="s">
        <v>799</v>
      </c>
      <c r="AO36" s="117" t="s">
        <v>800</v>
      </c>
      <c r="AP36" s="152" t="s">
        <v>527</v>
      </c>
      <c r="AQ36" s="158" t="s">
        <v>1612</v>
      </c>
      <c r="AR36" s="163">
        <v>46290</v>
      </c>
      <c r="AS36" s="164" t="s">
        <v>1648</v>
      </c>
      <c r="AT36" s="158" t="s">
        <v>1616</v>
      </c>
    </row>
    <row r="37" spans="1:46" ht="67.5" customHeight="1" x14ac:dyDescent="0.25">
      <c r="A37" s="104">
        <v>32</v>
      </c>
      <c r="B37" s="106" t="s">
        <v>412</v>
      </c>
      <c r="C37" s="106" t="s">
        <v>815</v>
      </c>
      <c r="D37" s="107">
        <v>2</v>
      </c>
      <c r="E37" s="107">
        <v>2</v>
      </c>
      <c r="F37" s="107">
        <v>2</v>
      </c>
      <c r="G37" s="107">
        <v>2</v>
      </c>
      <c r="H37" s="108">
        <f t="shared" si="0"/>
        <v>2</v>
      </c>
      <c r="I37" s="154" t="str">
        <f t="shared" si="1"/>
        <v>P3</v>
      </c>
      <c r="J37" s="155" t="s">
        <v>816</v>
      </c>
      <c r="K37" s="106" t="s">
        <v>817</v>
      </c>
      <c r="L37" s="106" t="s">
        <v>787</v>
      </c>
      <c r="M37" s="106" t="s">
        <v>818</v>
      </c>
      <c r="N37" s="106" t="s">
        <v>619</v>
      </c>
      <c r="O37" s="111" t="s">
        <v>1589</v>
      </c>
      <c r="P37" s="111" t="s">
        <v>1574</v>
      </c>
      <c r="Q37" s="156" t="s">
        <v>819</v>
      </c>
      <c r="R37" s="112" t="s">
        <v>284</v>
      </c>
      <c r="S37" s="106" t="s">
        <v>820</v>
      </c>
      <c r="T37" s="113" t="s">
        <v>289</v>
      </c>
      <c r="U37" s="104" t="s">
        <v>292</v>
      </c>
      <c r="V37" s="104" t="s">
        <v>295</v>
      </c>
      <c r="W37" s="104" t="s">
        <v>821</v>
      </c>
      <c r="X37" s="104" t="s">
        <v>822</v>
      </c>
      <c r="Y37" s="106"/>
      <c r="Z37" s="114" t="s">
        <v>301</v>
      </c>
      <c r="AA37" s="114" t="s">
        <v>301</v>
      </c>
      <c r="AB37" s="114" t="s">
        <v>823</v>
      </c>
      <c r="AC37" s="114" t="s">
        <v>823</v>
      </c>
      <c r="AD37" s="115" t="s">
        <v>824</v>
      </c>
      <c r="AE37" s="115" t="s">
        <v>825</v>
      </c>
      <c r="AF37" s="115" t="s">
        <v>825</v>
      </c>
      <c r="AG37" s="115" t="s">
        <v>825</v>
      </c>
      <c r="AH37" s="116" t="s">
        <v>826</v>
      </c>
      <c r="AI37" s="116" t="s">
        <v>826</v>
      </c>
      <c r="AJ37" s="116" t="s">
        <v>826</v>
      </c>
      <c r="AK37" s="116" t="s">
        <v>826</v>
      </c>
      <c r="AL37" s="117" t="s">
        <v>292</v>
      </c>
      <c r="AM37" s="117" t="s">
        <v>292</v>
      </c>
      <c r="AN37" s="117" t="s">
        <v>292</v>
      </c>
      <c r="AO37" s="117" t="s">
        <v>292</v>
      </c>
      <c r="AP37" s="118" t="s">
        <v>527</v>
      </c>
      <c r="AQ37" s="158" t="s">
        <v>1612</v>
      </c>
      <c r="AR37" s="89"/>
      <c r="AS37" s="164" t="s">
        <v>1649</v>
      </c>
      <c r="AT37" s="158" t="s">
        <v>1617</v>
      </c>
    </row>
    <row r="38" spans="1:46" ht="40.5" customHeight="1" x14ac:dyDescent="0.25">
      <c r="A38" s="90"/>
    </row>
    <row r="39" spans="1:46" ht="33.75" customHeight="1" x14ac:dyDescent="0.25">
      <c r="A39" s="90"/>
    </row>
    <row r="40" spans="1:46" ht="33.75" customHeight="1" x14ac:dyDescent="0.3">
      <c r="A40" s="91"/>
      <c r="C40" s="41"/>
      <c r="H40" s="53"/>
      <c r="R40" s="53"/>
      <c r="T40" s="53"/>
      <c r="U40" s="53"/>
      <c r="V40" s="53"/>
      <c r="W40" s="53"/>
      <c r="X40" s="53"/>
      <c r="AP40" s="54"/>
    </row>
    <row r="41" spans="1:46" ht="18" customHeight="1" x14ac:dyDescent="0.3">
      <c r="A41" s="7"/>
      <c r="H41" s="53"/>
      <c r="R41" s="53"/>
      <c r="T41" s="53"/>
      <c r="U41" s="53"/>
      <c r="V41" s="53"/>
      <c r="W41" s="53"/>
      <c r="X41" s="53"/>
      <c r="AP41" s="54"/>
    </row>
    <row r="42" spans="1:46" ht="18" customHeight="1" x14ac:dyDescent="0.3">
      <c r="A42" s="232" t="s">
        <v>827</v>
      </c>
      <c r="B42" s="233"/>
      <c r="C42" s="233"/>
      <c r="D42" s="233"/>
      <c r="E42" s="233"/>
      <c r="F42" s="233"/>
      <c r="G42" s="233"/>
      <c r="H42" s="233"/>
      <c r="I42" s="233"/>
      <c r="J42" s="233"/>
      <c r="K42" s="233"/>
      <c r="L42" s="233"/>
      <c r="M42" s="233"/>
      <c r="N42" s="233"/>
      <c r="O42" s="234"/>
      <c r="P42" s="234"/>
      <c r="Q42" s="233"/>
      <c r="R42" s="233"/>
      <c r="S42" s="233"/>
      <c r="T42" s="233"/>
      <c r="U42" s="233"/>
      <c r="V42" s="233"/>
      <c r="W42" s="233"/>
      <c r="X42" s="233"/>
      <c r="Y42" s="233"/>
      <c r="Z42" s="233"/>
      <c r="AA42" s="233"/>
      <c r="AB42" s="233"/>
      <c r="AC42" s="233"/>
      <c r="AD42" s="233"/>
      <c r="AE42" s="233"/>
      <c r="AF42" s="233"/>
      <c r="AG42" s="233"/>
      <c r="AH42" s="233"/>
      <c r="AI42" s="233"/>
      <c r="AJ42" s="233"/>
      <c r="AK42" s="233"/>
      <c r="AL42" s="233"/>
      <c r="AM42" s="233"/>
      <c r="AN42" s="233"/>
      <c r="AO42" s="235"/>
      <c r="AP42" s="54"/>
    </row>
    <row r="43" spans="1:46" ht="18" customHeight="1" x14ac:dyDescent="0.3">
      <c r="A43" s="55" t="s">
        <v>176</v>
      </c>
      <c r="B43" s="208" t="s">
        <v>828</v>
      </c>
      <c r="C43" s="178"/>
      <c r="D43" s="178"/>
      <c r="E43" s="178"/>
      <c r="F43" s="178"/>
      <c r="G43" s="178"/>
      <c r="H43" s="178"/>
      <c r="I43" s="178"/>
      <c r="J43" s="178"/>
      <c r="K43" s="178"/>
      <c r="L43" s="178"/>
      <c r="M43" s="178"/>
      <c r="N43" s="178"/>
      <c r="O43" s="209"/>
      <c r="P43" s="209"/>
      <c r="Q43" s="178"/>
      <c r="R43" s="178"/>
      <c r="S43" s="178"/>
      <c r="T43" s="178"/>
      <c r="U43" s="178"/>
      <c r="V43" s="178"/>
      <c r="W43" s="178"/>
      <c r="X43" s="178"/>
      <c r="Y43" s="178"/>
      <c r="Z43" s="178"/>
      <c r="AA43" s="178"/>
      <c r="AB43" s="178"/>
      <c r="AC43" s="178"/>
      <c r="AD43" s="178"/>
      <c r="AE43" s="178"/>
      <c r="AF43" s="178"/>
      <c r="AG43" s="178"/>
      <c r="AH43" s="178"/>
      <c r="AI43" s="178"/>
      <c r="AJ43" s="178"/>
      <c r="AK43" s="178"/>
      <c r="AL43" s="178"/>
      <c r="AM43" s="178"/>
      <c r="AN43" s="178"/>
      <c r="AO43" s="179"/>
      <c r="AP43" s="54"/>
    </row>
    <row r="44" spans="1:46" ht="18" customHeight="1" x14ac:dyDescent="0.3">
      <c r="A44" s="55" t="s">
        <v>184</v>
      </c>
      <c r="B44" s="208" t="s">
        <v>829</v>
      </c>
      <c r="C44" s="178"/>
      <c r="D44" s="178"/>
      <c r="E44" s="178"/>
      <c r="F44" s="178"/>
      <c r="G44" s="178"/>
      <c r="H44" s="178"/>
      <c r="I44" s="178"/>
      <c r="J44" s="178"/>
      <c r="K44" s="178"/>
      <c r="L44" s="178"/>
      <c r="M44" s="178"/>
      <c r="N44" s="178"/>
      <c r="O44" s="209"/>
      <c r="P44" s="209"/>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9"/>
      <c r="AP44" s="54"/>
    </row>
    <row r="45" spans="1:46" ht="18" customHeight="1" x14ac:dyDescent="0.3">
      <c r="A45" s="55" t="s">
        <v>191</v>
      </c>
      <c r="B45" s="208" t="s">
        <v>830</v>
      </c>
      <c r="C45" s="178"/>
      <c r="D45" s="178"/>
      <c r="E45" s="178"/>
      <c r="F45" s="178"/>
      <c r="G45" s="178"/>
      <c r="H45" s="178"/>
      <c r="I45" s="178"/>
      <c r="J45" s="178"/>
      <c r="K45" s="178"/>
      <c r="L45" s="178"/>
      <c r="M45" s="178"/>
      <c r="N45" s="178"/>
      <c r="O45" s="209"/>
      <c r="P45" s="209"/>
      <c r="Q45" s="178"/>
      <c r="R45" s="178"/>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9"/>
      <c r="AP45" s="54"/>
    </row>
    <row r="46" spans="1:46" ht="18" customHeight="1" x14ac:dyDescent="0.3">
      <c r="A46" s="55" t="s">
        <v>196</v>
      </c>
      <c r="B46" s="208" t="s">
        <v>831</v>
      </c>
      <c r="C46" s="178"/>
      <c r="D46" s="178"/>
      <c r="E46" s="178"/>
      <c r="F46" s="178"/>
      <c r="G46" s="178"/>
      <c r="H46" s="178"/>
      <c r="I46" s="178"/>
      <c r="J46" s="178"/>
      <c r="K46" s="178"/>
      <c r="L46" s="178"/>
      <c r="M46" s="178"/>
      <c r="N46" s="178"/>
      <c r="O46" s="209"/>
      <c r="P46" s="209"/>
      <c r="Q46" s="178"/>
      <c r="R46" s="178"/>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9"/>
      <c r="AP46" s="54"/>
    </row>
    <row r="47" spans="1:46" ht="18" customHeight="1" x14ac:dyDescent="0.3">
      <c r="A47" s="55" t="s">
        <v>206</v>
      </c>
      <c r="B47" s="208" t="s">
        <v>832</v>
      </c>
      <c r="C47" s="178"/>
      <c r="D47" s="178"/>
      <c r="E47" s="178"/>
      <c r="F47" s="178"/>
      <c r="G47" s="178"/>
      <c r="H47" s="178"/>
      <c r="I47" s="178"/>
      <c r="J47" s="178"/>
      <c r="K47" s="178"/>
      <c r="L47" s="178"/>
      <c r="M47" s="178"/>
      <c r="N47" s="178"/>
      <c r="O47" s="209"/>
      <c r="P47" s="209"/>
      <c r="Q47" s="178"/>
      <c r="R47" s="178"/>
      <c r="S47" s="178"/>
      <c r="T47" s="178"/>
      <c r="U47" s="178"/>
      <c r="V47" s="178"/>
      <c r="W47" s="178"/>
      <c r="X47" s="178"/>
      <c r="Y47" s="178"/>
      <c r="Z47" s="178"/>
      <c r="AA47" s="178"/>
      <c r="AB47" s="178"/>
      <c r="AC47" s="178"/>
      <c r="AD47" s="178"/>
      <c r="AE47" s="178"/>
      <c r="AF47" s="178"/>
      <c r="AG47" s="178"/>
      <c r="AH47" s="178"/>
      <c r="AI47" s="178"/>
      <c r="AJ47" s="178"/>
      <c r="AK47" s="178"/>
      <c r="AL47" s="178"/>
      <c r="AM47" s="178"/>
      <c r="AN47" s="178"/>
      <c r="AO47" s="179"/>
      <c r="AP47" s="54"/>
    </row>
    <row r="48" spans="1:46" ht="18" customHeight="1" x14ac:dyDescent="0.3">
      <c r="A48" s="7"/>
      <c r="H48" s="53"/>
      <c r="R48" s="53"/>
      <c r="T48" s="53"/>
      <c r="U48" s="53"/>
      <c r="V48" s="53"/>
      <c r="W48" s="53"/>
      <c r="X48" s="53"/>
      <c r="AP48" s="54"/>
    </row>
    <row r="49" spans="1:42" ht="42.75" customHeight="1" x14ac:dyDescent="0.3">
      <c r="A49" s="57" t="s">
        <v>833</v>
      </c>
      <c r="B49" s="58" t="s">
        <v>834</v>
      </c>
      <c r="C49" s="214" t="s">
        <v>835</v>
      </c>
      <c r="D49" s="178"/>
      <c r="E49" s="178"/>
      <c r="F49" s="178"/>
      <c r="G49" s="178"/>
      <c r="H49" s="179"/>
      <c r="I49" s="210" t="s">
        <v>836</v>
      </c>
      <c r="J49" s="179"/>
      <c r="K49" s="59" t="s">
        <v>837</v>
      </c>
      <c r="L49" s="60" t="s">
        <v>838</v>
      </c>
      <c r="M49" s="61" t="s">
        <v>839</v>
      </c>
      <c r="R49" s="53"/>
      <c r="T49" s="53"/>
      <c r="U49" s="53"/>
      <c r="V49" s="53"/>
      <c r="W49" s="53"/>
      <c r="X49" s="53"/>
      <c r="AP49" s="54"/>
    </row>
    <row r="50" spans="1:42" ht="18" customHeight="1" x14ac:dyDescent="0.3">
      <c r="A50" s="215" t="s">
        <v>840</v>
      </c>
      <c r="B50" s="211" t="s">
        <v>596</v>
      </c>
      <c r="C50" s="217" t="s">
        <v>785</v>
      </c>
      <c r="D50" s="218" t="s">
        <v>841</v>
      </c>
      <c r="E50" s="219"/>
      <c r="F50" s="220"/>
      <c r="G50" s="223" t="s">
        <v>716</v>
      </c>
      <c r="H50" s="220"/>
      <c r="I50" s="224" t="s">
        <v>619</v>
      </c>
      <c r="J50" s="220"/>
      <c r="K50" s="225" t="s">
        <v>707</v>
      </c>
      <c r="R50" s="53"/>
      <c r="T50" s="53"/>
      <c r="U50" s="53"/>
      <c r="V50" s="53"/>
      <c r="W50" s="53"/>
      <c r="X50" s="53"/>
      <c r="AP50" s="54"/>
    </row>
    <row r="51" spans="1:42" ht="24" customHeight="1" x14ac:dyDescent="0.3">
      <c r="A51" s="216"/>
      <c r="B51" s="212"/>
      <c r="C51" s="212"/>
      <c r="D51" s="221"/>
      <c r="E51" s="222"/>
      <c r="F51" s="209"/>
      <c r="G51" s="221"/>
      <c r="H51" s="209"/>
      <c r="I51" s="221"/>
      <c r="J51" s="209"/>
      <c r="K51" s="212"/>
      <c r="AP51" s="54"/>
    </row>
    <row r="52" spans="1:42" ht="51.6" customHeight="1" x14ac:dyDescent="0.3">
      <c r="A52" s="86" t="s">
        <v>1594</v>
      </c>
      <c r="B52" s="79" t="s">
        <v>1595</v>
      </c>
      <c r="C52" s="80" t="s">
        <v>1596</v>
      </c>
      <c r="D52" s="229" t="s">
        <v>1597</v>
      </c>
      <c r="E52" s="229"/>
      <c r="F52" s="229"/>
      <c r="G52" s="230" t="s">
        <v>1598</v>
      </c>
      <c r="H52" s="230"/>
      <c r="I52" s="231" t="s">
        <v>1599</v>
      </c>
      <c r="J52" s="231"/>
      <c r="K52" s="81" t="s">
        <v>1600</v>
      </c>
      <c r="L52" s="82"/>
      <c r="M52" s="83" t="s">
        <v>1601</v>
      </c>
      <c r="N52" s="84" t="s">
        <v>1602</v>
      </c>
      <c r="O52" s="85" t="s">
        <v>1603</v>
      </c>
      <c r="AP52" s="54"/>
    </row>
    <row r="53" spans="1:42" ht="45" x14ac:dyDescent="0.3">
      <c r="A53" s="87" t="s">
        <v>1607</v>
      </c>
      <c r="B53" s="85" t="s">
        <v>1576</v>
      </c>
      <c r="C53" s="88" t="s">
        <v>1606</v>
      </c>
      <c r="D53" s="206" t="s">
        <v>1009</v>
      </c>
      <c r="E53" s="206"/>
      <c r="F53" s="206"/>
      <c r="G53" s="207" t="s">
        <v>1579</v>
      </c>
      <c r="H53" s="207"/>
      <c r="I53" s="207"/>
      <c r="J53" s="62"/>
      <c r="K53" s="62"/>
      <c r="AP53" s="54"/>
    </row>
    <row r="54" spans="1:42" ht="33.75" customHeight="1" x14ac:dyDescent="0.3">
      <c r="A54" s="63"/>
      <c r="AP54" s="54"/>
    </row>
    <row r="55" spans="1:42" ht="18" customHeight="1" x14ac:dyDescent="0.3">
      <c r="A55" s="213" t="s">
        <v>842</v>
      </c>
      <c r="B55" s="190"/>
      <c r="C55" s="226"/>
      <c r="D55" s="191"/>
      <c r="E55" s="191"/>
      <c r="F55" s="191"/>
      <c r="G55" s="191"/>
      <c r="H55" s="191"/>
      <c r="I55" s="191"/>
      <c r="J55" s="182"/>
      <c r="R55" s="53"/>
      <c r="T55" s="53"/>
      <c r="U55" s="53"/>
      <c r="V55" s="53"/>
      <c r="W55" s="53"/>
      <c r="X55" s="53"/>
      <c r="AP55" s="54"/>
    </row>
    <row r="56" spans="1:42" ht="18" customHeight="1" x14ac:dyDescent="0.3">
      <c r="A56" s="64" t="s">
        <v>46</v>
      </c>
      <c r="B56" s="65">
        <v>0.3</v>
      </c>
      <c r="C56" s="227"/>
      <c r="D56" s="187"/>
      <c r="E56" s="187"/>
      <c r="F56" s="187"/>
      <c r="G56" s="187"/>
      <c r="H56" s="187"/>
      <c r="I56" s="187"/>
      <c r="J56" s="228"/>
      <c r="R56" s="53"/>
      <c r="T56" s="53"/>
      <c r="U56" s="53"/>
      <c r="V56" s="53"/>
      <c r="W56" s="53"/>
      <c r="X56" s="53"/>
      <c r="AP56" s="54"/>
    </row>
    <row r="57" spans="1:42" ht="18" customHeight="1" x14ac:dyDescent="0.3">
      <c r="A57" s="64" t="s">
        <v>90</v>
      </c>
      <c r="B57" s="65">
        <v>0.2</v>
      </c>
      <c r="C57" s="227"/>
      <c r="D57" s="187"/>
      <c r="E57" s="187"/>
      <c r="F57" s="187"/>
      <c r="G57" s="187"/>
      <c r="H57" s="187"/>
      <c r="I57" s="187"/>
      <c r="J57" s="228"/>
      <c r="R57" s="53"/>
      <c r="T57" s="53"/>
      <c r="U57" s="53"/>
      <c r="V57" s="53"/>
      <c r="W57" s="53"/>
      <c r="X57" s="53"/>
      <c r="AP57" s="54"/>
    </row>
    <row r="58" spans="1:42" ht="18" customHeight="1" x14ac:dyDescent="0.3">
      <c r="A58" s="64" t="s">
        <v>843</v>
      </c>
      <c r="B58" s="65">
        <v>0.25</v>
      </c>
      <c r="C58" s="227"/>
      <c r="D58" s="187"/>
      <c r="E58" s="187"/>
      <c r="F58" s="187"/>
      <c r="G58" s="187"/>
      <c r="H58" s="187"/>
      <c r="I58" s="187"/>
      <c r="J58" s="228"/>
      <c r="R58" s="53"/>
      <c r="T58" s="53"/>
      <c r="U58" s="53"/>
      <c r="V58" s="53"/>
      <c r="W58" s="53"/>
      <c r="X58" s="53"/>
      <c r="AP58" s="54"/>
    </row>
    <row r="59" spans="1:42" ht="18" customHeight="1" x14ac:dyDescent="0.3">
      <c r="A59" s="64" t="s">
        <v>78</v>
      </c>
      <c r="B59" s="65">
        <v>0.25</v>
      </c>
      <c r="C59" s="183"/>
      <c r="D59" s="192"/>
      <c r="E59" s="192"/>
      <c r="F59" s="192"/>
      <c r="G59" s="192"/>
      <c r="H59" s="192"/>
      <c r="I59" s="192"/>
      <c r="J59" s="184"/>
      <c r="R59" s="53"/>
      <c r="T59" s="53"/>
      <c r="U59" s="53"/>
      <c r="V59" s="53"/>
      <c r="W59" s="53"/>
      <c r="X59" s="53"/>
      <c r="AP59" s="54"/>
    </row>
    <row r="60" spans="1:42" ht="18" customHeight="1" x14ac:dyDescent="0.3">
      <c r="A60" s="7"/>
      <c r="H60" s="53"/>
      <c r="K60" s="36"/>
      <c r="R60" s="53"/>
      <c r="T60" s="53"/>
      <c r="U60" s="53"/>
      <c r="V60" s="53"/>
      <c r="W60" s="53"/>
      <c r="X60" s="53"/>
      <c r="AP60" s="54"/>
    </row>
    <row r="61" spans="1:42" ht="18" customHeight="1" x14ac:dyDescent="0.3">
      <c r="A61" s="66" t="s">
        <v>158</v>
      </c>
      <c r="B61" s="67" t="s">
        <v>604</v>
      </c>
      <c r="H61" s="53"/>
      <c r="R61" s="53"/>
      <c r="T61" s="53"/>
      <c r="U61" s="53"/>
      <c r="V61" s="53"/>
      <c r="W61" s="53"/>
      <c r="X61" s="53"/>
      <c r="AP61" s="54"/>
    </row>
    <row r="62" spans="1:42" ht="18" customHeight="1" x14ac:dyDescent="0.3">
      <c r="A62" s="64" t="s">
        <v>844</v>
      </c>
      <c r="B62" s="68" t="s">
        <v>614</v>
      </c>
      <c r="H62" s="53"/>
      <c r="R62" s="53"/>
      <c r="T62" s="53"/>
      <c r="U62" s="53"/>
      <c r="V62" s="53"/>
      <c r="W62" s="53"/>
      <c r="X62" s="53"/>
      <c r="AP62" s="54"/>
    </row>
    <row r="63" spans="1:42" ht="18" customHeight="1" x14ac:dyDescent="0.3">
      <c r="A63" s="64" t="s">
        <v>845</v>
      </c>
      <c r="B63" s="68" t="s">
        <v>638</v>
      </c>
      <c r="H63" s="53"/>
      <c r="R63" s="53"/>
      <c r="T63" s="53"/>
      <c r="U63" s="53"/>
      <c r="V63" s="53"/>
      <c r="W63" s="53"/>
      <c r="X63" s="53"/>
      <c r="AP63" s="54"/>
    </row>
    <row r="64" spans="1:42" ht="18" customHeight="1" x14ac:dyDescent="0.3">
      <c r="A64" s="64" t="s">
        <v>846</v>
      </c>
      <c r="B64" s="68" t="s">
        <v>658</v>
      </c>
      <c r="H64" s="53"/>
      <c r="R64" s="53"/>
      <c r="T64" s="53"/>
      <c r="U64" s="53"/>
      <c r="V64" s="53"/>
      <c r="W64" s="53"/>
      <c r="X64" s="53"/>
      <c r="AP64" s="54"/>
    </row>
    <row r="65" spans="1:42" ht="18" customHeight="1" x14ac:dyDescent="0.3">
      <c r="A65" s="47"/>
      <c r="H65" s="53"/>
      <c r="R65" s="53"/>
      <c r="T65" s="53"/>
      <c r="U65" s="53"/>
      <c r="V65" s="53"/>
      <c r="W65" s="53"/>
      <c r="X65" s="53"/>
      <c r="AP65" s="54"/>
    </row>
    <row r="66" spans="1:42" ht="18" customHeight="1" x14ac:dyDescent="0.3">
      <c r="A66" s="47"/>
      <c r="H66" s="53"/>
      <c r="R66" s="53"/>
      <c r="T66" s="53"/>
      <c r="U66" s="53"/>
      <c r="V66" s="53"/>
      <c r="W66" s="53"/>
      <c r="X66" s="53"/>
      <c r="AP66" s="54"/>
    </row>
    <row r="67" spans="1:42" ht="18" customHeight="1" x14ac:dyDescent="0.3">
      <c r="A67" s="47"/>
      <c r="H67" s="53"/>
      <c r="R67" s="53"/>
      <c r="T67" s="53"/>
      <c r="U67" s="53"/>
      <c r="V67" s="53"/>
      <c r="W67" s="53"/>
      <c r="X67" s="53"/>
      <c r="AP67" s="54"/>
    </row>
    <row r="68" spans="1:42" ht="18" customHeight="1" x14ac:dyDescent="0.3">
      <c r="A68" s="47"/>
      <c r="H68" s="53"/>
      <c r="R68" s="53"/>
      <c r="T68" s="53"/>
      <c r="U68" s="53"/>
      <c r="V68" s="53"/>
      <c r="W68" s="53"/>
      <c r="X68" s="53"/>
      <c r="AP68" s="54"/>
    </row>
    <row r="69" spans="1:42" ht="18" customHeight="1" x14ac:dyDescent="0.3">
      <c r="A69" s="47"/>
      <c r="H69" s="53"/>
      <c r="R69" s="53"/>
      <c r="T69" s="53"/>
      <c r="U69" s="53"/>
      <c r="V69" s="53"/>
      <c r="W69" s="53"/>
      <c r="X69" s="53"/>
      <c r="AP69" s="54"/>
    </row>
    <row r="70" spans="1:42" ht="18" customHeight="1" x14ac:dyDescent="0.3">
      <c r="A70" s="47"/>
      <c r="H70" s="53"/>
      <c r="R70" s="53"/>
      <c r="T70" s="53"/>
      <c r="U70" s="53"/>
      <c r="V70" s="53"/>
      <c r="W70" s="53"/>
      <c r="X70" s="53"/>
      <c r="AP70" s="54"/>
    </row>
    <row r="71" spans="1:42" ht="18" customHeight="1" x14ac:dyDescent="0.3">
      <c r="A71" s="47"/>
      <c r="H71" s="53"/>
      <c r="R71" s="53"/>
      <c r="T71" s="53"/>
      <c r="U71" s="53"/>
      <c r="V71" s="53"/>
      <c r="W71" s="53"/>
      <c r="X71" s="53"/>
      <c r="AP71" s="54"/>
    </row>
    <row r="72" spans="1:42" ht="18" customHeight="1" x14ac:dyDescent="0.3">
      <c r="A72" s="47"/>
      <c r="H72" s="53"/>
      <c r="R72" s="53"/>
      <c r="T72" s="53"/>
      <c r="U72" s="53"/>
      <c r="V72" s="53"/>
      <c r="W72" s="53"/>
      <c r="X72" s="53"/>
      <c r="AP72" s="54"/>
    </row>
    <row r="73" spans="1:42" ht="18" customHeight="1" x14ac:dyDescent="0.3">
      <c r="A73" s="47"/>
      <c r="H73" s="53"/>
      <c r="R73" s="53"/>
      <c r="T73" s="53"/>
      <c r="U73" s="53"/>
      <c r="V73" s="53"/>
      <c r="W73" s="53"/>
      <c r="X73" s="53"/>
      <c r="AP73" s="54"/>
    </row>
    <row r="74" spans="1:42" ht="18" customHeight="1" x14ac:dyDescent="0.3">
      <c r="A74" s="47"/>
      <c r="H74" s="53"/>
      <c r="R74" s="53"/>
      <c r="T74" s="53"/>
      <c r="U74" s="53"/>
      <c r="V74" s="53"/>
      <c r="W74" s="53"/>
      <c r="X74" s="53"/>
      <c r="AP74" s="54"/>
    </row>
    <row r="75" spans="1:42" ht="18" customHeight="1" x14ac:dyDescent="0.3">
      <c r="A75" s="47"/>
      <c r="H75" s="53"/>
      <c r="R75" s="53"/>
      <c r="T75" s="53"/>
      <c r="U75" s="53"/>
      <c r="V75" s="53"/>
      <c r="W75" s="53"/>
      <c r="X75" s="53"/>
      <c r="AP75" s="54"/>
    </row>
    <row r="76" spans="1:42" ht="18" customHeight="1" x14ac:dyDescent="0.3">
      <c r="A76" s="47"/>
      <c r="H76" s="53"/>
      <c r="R76" s="53"/>
      <c r="T76" s="53"/>
      <c r="U76" s="53"/>
      <c r="V76" s="53"/>
      <c r="W76" s="53"/>
      <c r="X76" s="53"/>
      <c r="AP76" s="54"/>
    </row>
    <row r="77" spans="1:42" ht="18" customHeight="1" x14ac:dyDescent="0.3">
      <c r="A77" s="47"/>
      <c r="H77" s="53"/>
      <c r="R77" s="53"/>
      <c r="T77" s="53"/>
      <c r="U77" s="53"/>
      <c r="V77" s="53"/>
      <c r="W77" s="53"/>
      <c r="X77" s="53"/>
      <c r="AP77" s="54"/>
    </row>
    <row r="78" spans="1:42" ht="18" customHeight="1" x14ac:dyDescent="0.3">
      <c r="A78" s="47"/>
      <c r="H78" s="53"/>
      <c r="R78" s="53"/>
      <c r="T78" s="53"/>
      <c r="U78" s="53"/>
      <c r="V78" s="53"/>
      <c r="W78" s="53"/>
      <c r="X78" s="53"/>
      <c r="AP78" s="54"/>
    </row>
    <row r="79" spans="1:42" ht="18" customHeight="1" x14ac:dyDescent="0.3">
      <c r="A79" s="47"/>
      <c r="H79" s="53"/>
      <c r="R79" s="53"/>
      <c r="T79" s="53"/>
      <c r="U79" s="53"/>
      <c r="V79" s="53"/>
      <c r="W79" s="53"/>
      <c r="X79" s="53"/>
      <c r="AP79" s="54"/>
    </row>
    <row r="80" spans="1:42" ht="18" customHeight="1" x14ac:dyDescent="0.3">
      <c r="A80" s="47"/>
      <c r="H80" s="53"/>
      <c r="R80" s="53"/>
      <c r="T80" s="53"/>
      <c r="U80" s="53"/>
      <c r="V80" s="53"/>
      <c r="W80" s="53"/>
      <c r="X80" s="53"/>
      <c r="AP80" s="54"/>
    </row>
    <row r="81" spans="1:42" ht="18" customHeight="1" x14ac:dyDescent="0.3">
      <c r="A81" s="47"/>
      <c r="H81" s="53"/>
      <c r="R81" s="53"/>
      <c r="T81" s="53"/>
      <c r="U81" s="53"/>
      <c r="V81" s="53"/>
      <c r="W81" s="53"/>
      <c r="X81" s="53"/>
      <c r="AP81" s="54"/>
    </row>
    <row r="82" spans="1:42" ht="18" customHeight="1" x14ac:dyDescent="0.3">
      <c r="A82" s="47"/>
      <c r="H82" s="53"/>
      <c r="R82" s="53"/>
      <c r="T82" s="53"/>
      <c r="U82" s="53"/>
      <c r="V82" s="53"/>
      <c r="W82" s="53"/>
      <c r="X82" s="53"/>
      <c r="AP82" s="54"/>
    </row>
    <row r="83" spans="1:42" ht="18" customHeight="1" x14ac:dyDescent="0.3">
      <c r="A83" s="47"/>
      <c r="H83" s="53"/>
      <c r="R83" s="53"/>
      <c r="T83" s="53"/>
      <c r="U83" s="53"/>
      <c r="V83" s="53"/>
      <c r="W83" s="53"/>
      <c r="X83" s="53"/>
      <c r="AP83" s="54"/>
    </row>
    <row r="84" spans="1:42" ht="18" customHeight="1" x14ac:dyDescent="0.3">
      <c r="A84" s="47"/>
      <c r="H84" s="53"/>
      <c r="R84" s="53"/>
      <c r="T84" s="53"/>
      <c r="U84" s="53"/>
      <c r="V84" s="53"/>
      <c r="W84" s="53"/>
      <c r="X84" s="53"/>
      <c r="AP84" s="54"/>
    </row>
    <row r="85" spans="1:42" ht="18" customHeight="1" x14ac:dyDescent="0.3">
      <c r="A85" s="47"/>
      <c r="H85" s="53"/>
      <c r="R85" s="53"/>
      <c r="T85" s="53"/>
      <c r="U85" s="53"/>
      <c r="V85" s="53"/>
      <c r="W85" s="53"/>
      <c r="X85" s="53"/>
      <c r="AP85" s="54"/>
    </row>
    <row r="86" spans="1:42" ht="18" customHeight="1" x14ac:dyDescent="0.3">
      <c r="A86" s="47"/>
      <c r="H86" s="53"/>
      <c r="R86" s="53"/>
      <c r="T86" s="53"/>
      <c r="U86" s="53"/>
      <c r="V86" s="53"/>
      <c r="W86" s="53"/>
      <c r="X86" s="53"/>
      <c r="AP86" s="54"/>
    </row>
    <row r="87" spans="1:42" ht="18" customHeight="1" x14ac:dyDescent="0.3">
      <c r="A87" s="47"/>
      <c r="H87" s="53"/>
      <c r="R87" s="53"/>
      <c r="T87" s="53"/>
      <c r="U87" s="53"/>
      <c r="V87" s="53"/>
      <c r="W87" s="53"/>
      <c r="X87" s="53"/>
      <c r="AP87" s="54"/>
    </row>
    <row r="88" spans="1:42" ht="18" customHeight="1" x14ac:dyDescent="0.3">
      <c r="A88" s="47"/>
      <c r="H88" s="53"/>
      <c r="R88" s="53"/>
      <c r="T88" s="53"/>
      <c r="U88" s="53"/>
      <c r="V88" s="53"/>
      <c r="W88" s="53"/>
      <c r="X88" s="53"/>
      <c r="AP88" s="54"/>
    </row>
    <row r="89" spans="1:42" ht="18" customHeight="1" x14ac:dyDescent="0.3">
      <c r="A89" s="47"/>
      <c r="H89" s="53"/>
      <c r="R89" s="53"/>
      <c r="T89" s="53"/>
      <c r="U89" s="53"/>
      <c r="V89" s="53"/>
      <c r="W89" s="53"/>
      <c r="X89" s="53"/>
      <c r="AP89" s="54"/>
    </row>
    <row r="90" spans="1:42" ht="18" customHeight="1" x14ac:dyDescent="0.3">
      <c r="A90" s="7"/>
      <c r="H90" s="53"/>
      <c r="R90" s="53"/>
      <c r="T90" s="53"/>
      <c r="U90" s="53"/>
      <c r="V90" s="53"/>
      <c r="W90" s="53"/>
      <c r="X90" s="53"/>
      <c r="AP90" s="54"/>
    </row>
    <row r="91" spans="1:42" ht="18" customHeight="1" x14ac:dyDescent="0.3">
      <c r="A91" s="7"/>
      <c r="H91" s="53"/>
      <c r="R91" s="53"/>
      <c r="T91" s="53"/>
      <c r="U91" s="53"/>
      <c r="V91" s="53"/>
      <c r="W91" s="53"/>
      <c r="X91" s="53"/>
      <c r="AP91" s="54"/>
    </row>
    <row r="92" spans="1:42" ht="18" customHeight="1" x14ac:dyDescent="0.3">
      <c r="A92" s="7"/>
      <c r="H92" s="53"/>
      <c r="R92" s="53"/>
      <c r="T92" s="53"/>
      <c r="U92" s="53"/>
      <c r="V92" s="53"/>
      <c r="W92" s="53"/>
      <c r="X92" s="53"/>
      <c r="AP92" s="54"/>
    </row>
    <row r="93" spans="1:42" ht="18" customHeight="1" x14ac:dyDescent="0.3">
      <c r="A93" s="7"/>
      <c r="H93" s="53"/>
      <c r="R93" s="53"/>
      <c r="T93" s="53"/>
      <c r="U93" s="53"/>
      <c r="V93" s="53"/>
      <c r="W93" s="53"/>
      <c r="X93" s="53"/>
      <c r="AP93" s="54"/>
    </row>
    <row r="94" spans="1:42" ht="18" customHeight="1" x14ac:dyDescent="0.3">
      <c r="A94" s="7"/>
      <c r="H94" s="53"/>
      <c r="R94" s="53"/>
      <c r="T94" s="53"/>
      <c r="U94" s="53"/>
      <c r="V94" s="53"/>
      <c r="W94" s="53"/>
      <c r="X94" s="53"/>
      <c r="AP94" s="54"/>
    </row>
    <row r="95" spans="1:42" ht="18" customHeight="1" x14ac:dyDescent="0.3">
      <c r="A95" s="7"/>
      <c r="H95" s="53"/>
      <c r="R95" s="53"/>
      <c r="T95" s="53"/>
      <c r="U95" s="53"/>
      <c r="V95" s="53"/>
      <c r="W95" s="53"/>
      <c r="X95" s="53"/>
      <c r="AP95" s="54"/>
    </row>
    <row r="96" spans="1:42" ht="18" customHeight="1" x14ac:dyDescent="0.3">
      <c r="A96" s="7"/>
      <c r="H96" s="53"/>
      <c r="R96" s="53"/>
      <c r="T96" s="53"/>
      <c r="U96" s="53"/>
      <c r="V96" s="53"/>
      <c r="W96" s="53"/>
      <c r="X96" s="53"/>
      <c r="AP96" s="54"/>
    </row>
    <row r="97" spans="1:42" ht="18" customHeight="1" x14ac:dyDescent="0.3">
      <c r="A97" s="7"/>
      <c r="H97" s="53"/>
      <c r="R97" s="53"/>
      <c r="T97" s="53"/>
      <c r="U97" s="53"/>
      <c r="V97" s="53"/>
      <c r="W97" s="53"/>
      <c r="X97" s="53"/>
      <c r="AP97" s="54"/>
    </row>
    <row r="98" spans="1:42" ht="18" customHeight="1" x14ac:dyDescent="0.3">
      <c r="A98" s="7"/>
      <c r="H98" s="53"/>
      <c r="R98" s="53"/>
      <c r="T98" s="53"/>
      <c r="U98" s="53"/>
      <c r="V98" s="53"/>
      <c r="W98" s="53"/>
      <c r="X98" s="53"/>
      <c r="AP98" s="54"/>
    </row>
    <row r="99" spans="1:42" ht="18" customHeight="1" x14ac:dyDescent="0.3">
      <c r="A99" s="7"/>
      <c r="H99" s="53"/>
      <c r="R99" s="53"/>
      <c r="T99" s="53"/>
      <c r="U99" s="53"/>
      <c r="V99" s="53"/>
      <c r="W99" s="53"/>
      <c r="X99" s="53"/>
      <c r="AP99" s="54"/>
    </row>
    <row r="100" spans="1:42" ht="18" customHeight="1" x14ac:dyDescent="0.3">
      <c r="A100" s="7"/>
      <c r="H100" s="53"/>
      <c r="R100" s="53"/>
      <c r="T100" s="53"/>
      <c r="U100" s="53"/>
      <c r="V100" s="53"/>
      <c r="W100" s="53"/>
      <c r="X100" s="53"/>
      <c r="AP100" s="54"/>
    </row>
    <row r="101" spans="1:42" ht="18" customHeight="1" x14ac:dyDescent="0.3">
      <c r="A101" s="7"/>
      <c r="H101" s="53"/>
      <c r="R101" s="53"/>
      <c r="T101" s="53"/>
      <c r="U101" s="53"/>
      <c r="V101" s="53"/>
      <c r="W101" s="53"/>
      <c r="X101" s="53"/>
      <c r="AP101" s="54"/>
    </row>
    <row r="102" spans="1:42" ht="18" customHeight="1" x14ac:dyDescent="0.3">
      <c r="A102" s="7"/>
      <c r="H102" s="53"/>
      <c r="R102" s="53"/>
      <c r="T102" s="53"/>
      <c r="U102" s="53"/>
      <c r="V102" s="53"/>
      <c r="W102" s="53"/>
      <c r="X102" s="53"/>
      <c r="AP102" s="54"/>
    </row>
    <row r="103" spans="1:42" ht="18" customHeight="1" x14ac:dyDescent="0.3">
      <c r="A103" s="7"/>
      <c r="H103" s="53"/>
      <c r="R103" s="53"/>
      <c r="T103" s="53"/>
      <c r="U103" s="53"/>
      <c r="V103" s="53"/>
      <c r="W103" s="53"/>
      <c r="X103" s="53"/>
      <c r="AP103" s="54"/>
    </row>
    <row r="104" spans="1:42" ht="18" customHeight="1" x14ac:dyDescent="0.3">
      <c r="A104" s="7"/>
      <c r="H104" s="53"/>
      <c r="R104" s="53"/>
      <c r="T104" s="53"/>
      <c r="U104" s="53"/>
      <c r="V104" s="53"/>
      <c r="W104" s="53"/>
      <c r="X104" s="53"/>
      <c r="AP104" s="54"/>
    </row>
    <row r="105" spans="1:42" ht="18" customHeight="1" x14ac:dyDescent="0.3">
      <c r="A105" s="7"/>
      <c r="H105" s="53"/>
      <c r="R105" s="53"/>
      <c r="T105" s="53"/>
      <c r="U105" s="53"/>
      <c r="V105" s="53"/>
      <c r="W105" s="53"/>
      <c r="X105" s="53"/>
      <c r="AP105" s="54"/>
    </row>
    <row r="106" spans="1:42" ht="18" customHeight="1" x14ac:dyDescent="0.3">
      <c r="A106" s="7"/>
      <c r="H106" s="53"/>
      <c r="R106" s="53"/>
      <c r="T106" s="53"/>
      <c r="U106" s="53"/>
      <c r="V106" s="53"/>
      <c r="W106" s="53"/>
      <c r="X106" s="53"/>
      <c r="AP106" s="54"/>
    </row>
    <row r="107" spans="1:42" ht="18" customHeight="1" x14ac:dyDescent="0.3">
      <c r="A107" s="7"/>
      <c r="H107" s="53"/>
      <c r="R107" s="53"/>
      <c r="T107" s="53"/>
      <c r="U107" s="53"/>
      <c r="V107" s="53"/>
      <c r="W107" s="53"/>
      <c r="X107" s="53"/>
      <c r="AP107" s="54"/>
    </row>
    <row r="108" spans="1:42" ht="18" customHeight="1" x14ac:dyDescent="0.3">
      <c r="A108" s="7"/>
      <c r="H108" s="53"/>
      <c r="R108" s="53"/>
      <c r="T108" s="53"/>
      <c r="U108" s="53"/>
      <c r="V108" s="53"/>
      <c r="W108" s="53"/>
      <c r="X108" s="53"/>
      <c r="AP108" s="54"/>
    </row>
    <row r="109" spans="1:42" ht="18" customHeight="1" x14ac:dyDescent="0.3">
      <c r="A109" s="7"/>
      <c r="H109" s="53"/>
      <c r="R109" s="53"/>
      <c r="T109" s="53"/>
      <c r="U109" s="53"/>
      <c r="V109" s="53"/>
      <c r="W109" s="53"/>
      <c r="X109" s="53"/>
      <c r="AP109" s="54"/>
    </row>
    <row r="110" spans="1:42" ht="18" customHeight="1" x14ac:dyDescent="0.3">
      <c r="A110" s="7"/>
      <c r="H110" s="53"/>
      <c r="R110" s="53"/>
      <c r="T110" s="53"/>
      <c r="U110" s="53"/>
      <c r="V110" s="53"/>
      <c r="W110" s="53"/>
      <c r="X110" s="53"/>
      <c r="AP110" s="54"/>
    </row>
    <row r="111" spans="1:42" ht="18" customHeight="1" x14ac:dyDescent="0.3">
      <c r="A111" s="7"/>
      <c r="H111" s="53"/>
      <c r="R111" s="53"/>
      <c r="T111" s="53"/>
      <c r="U111" s="53"/>
      <c r="V111" s="53"/>
      <c r="W111" s="53"/>
      <c r="X111" s="53"/>
      <c r="AP111" s="54"/>
    </row>
    <row r="112" spans="1:42" ht="18" customHeight="1" x14ac:dyDescent="0.3">
      <c r="A112" s="7"/>
      <c r="H112" s="53"/>
      <c r="R112" s="53"/>
      <c r="T112" s="53"/>
      <c r="U112" s="53"/>
      <c r="V112" s="53"/>
      <c r="W112" s="53"/>
      <c r="X112" s="53"/>
      <c r="AP112" s="54"/>
    </row>
    <row r="113" spans="1:42" ht="18" customHeight="1" x14ac:dyDescent="0.3">
      <c r="A113" s="7"/>
      <c r="H113" s="53"/>
      <c r="R113" s="53"/>
      <c r="T113" s="53"/>
      <c r="U113" s="53"/>
      <c r="V113" s="53"/>
      <c r="W113" s="53"/>
      <c r="X113" s="53"/>
      <c r="AP113" s="54"/>
    </row>
    <row r="114" spans="1:42" ht="18" customHeight="1" x14ac:dyDescent="0.3">
      <c r="A114" s="7"/>
      <c r="H114" s="53"/>
      <c r="R114" s="53"/>
      <c r="T114" s="53"/>
      <c r="U114" s="53"/>
      <c r="V114" s="53"/>
      <c r="W114" s="53"/>
      <c r="X114" s="53"/>
      <c r="AP114" s="54"/>
    </row>
    <row r="115" spans="1:42" ht="18" customHeight="1" x14ac:dyDescent="0.3">
      <c r="A115" s="7"/>
      <c r="H115" s="53"/>
      <c r="R115" s="53"/>
      <c r="T115" s="53"/>
      <c r="U115" s="53"/>
      <c r="V115" s="53"/>
      <c r="W115" s="53"/>
      <c r="X115" s="53"/>
      <c r="AP115" s="54"/>
    </row>
    <row r="116" spans="1:42" ht="18" customHeight="1" x14ac:dyDescent="0.3">
      <c r="A116" s="7"/>
      <c r="H116" s="53"/>
      <c r="R116" s="53"/>
      <c r="T116" s="53"/>
      <c r="U116" s="53"/>
      <c r="V116" s="53"/>
      <c r="W116" s="53"/>
      <c r="X116" s="53"/>
      <c r="AP116" s="54"/>
    </row>
    <row r="117" spans="1:42" ht="18" customHeight="1" x14ac:dyDescent="0.3">
      <c r="A117" s="7"/>
      <c r="H117" s="53"/>
      <c r="R117" s="53"/>
      <c r="T117" s="53"/>
      <c r="U117" s="53"/>
      <c r="V117" s="53"/>
      <c r="W117" s="53"/>
      <c r="X117" s="53"/>
      <c r="AP117" s="54"/>
    </row>
    <row r="118" spans="1:42" ht="18" customHeight="1" x14ac:dyDescent="0.3">
      <c r="A118" s="7"/>
      <c r="H118" s="53"/>
      <c r="R118" s="53"/>
      <c r="T118" s="53"/>
      <c r="U118" s="53"/>
      <c r="V118" s="53"/>
      <c r="W118" s="53"/>
      <c r="X118" s="53"/>
      <c r="AP118" s="54"/>
    </row>
    <row r="119" spans="1:42" ht="18" customHeight="1" x14ac:dyDescent="0.3">
      <c r="A119" s="7"/>
      <c r="H119" s="53"/>
      <c r="R119" s="53"/>
      <c r="T119" s="53"/>
      <c r="U119" s="53"/>
      <c r="V119" s="53"/>
      <c r="W119" s="53"/>
      <c r="X119" s="53"/>
      <c r="AP119" s="54"/>
    </row>
    <row r="120" spans="1:42" ht="18" customHeight="1" x14ac:dyDescent="0.3">
      <c r="A120" s="7"/>
      <c r="H120" s="53"/>
      <c r="R120" s="53"/>
      <c r="T120" s="53"/>
      <c r="U120" s="53"/>
      <c r="V120" s="53"/>
      <c r="W120" s="53"/>
      <c r="X120" s="53"/>
      <c r="AP120" s="54"/>
    </row>
    <row r="121" spans="1:42" ht="18" customHeight="1" x14ac:dyDescent="0.3">
      <c r="A121" s="7"/>
      <c r="H121" s="53"/>
      <c r="R121" s="53"/>
      <c r="T121" s="53"/>
      <c r="U121" s="53"/>
      <c r="V121" s="53"/>
      <c r="W121" s="53"/>
      <c r="X121" s="53"/>
      <c r="AP121" s="54"/>
    </row>
    <row r="122" spans="1:42" ht="18" customHeight="1" x14ac:dyDescent="0.3">
      <c r="A122" s="7"/>
      <c r="H122" s="53"/>
      <c r="R122" s="53"/>
      <c r="T122" s="53"/>
      <c r="U122" s="53"/>
      <c r="V122" s="53"/>
      <c r="W122" s="53"/>
      <c r="X122" s="53"/>
      <c r="AP122" s="54"/>
    </row>
    <row r="123" spans="1:42" ht="18" customHeight="1" x14ac:dyDescent="0.3">
      <c r="A123" s="7"/>
      <c r="H123" s="53"/>
      <c r="R123" s="53"/>
      <c r="T123" s="53"/>
      <c r="U123" s="53"/>
      <c r="V123" s="53"/>
      <c r="W123" s="53"/>
      <c r="X123" s="53"/>
      <c r="AP123" s="54"/>
    </row>
    <row r="124" spans="1:42" ht="18" customHeight="1" x14ac:dyDescent="0.3">
      <c r="A124" s="7"/>
      <c r="H124" s="53"/>
      <c r="R124" s="53"/>
      <c r="T124" s="53"/>
      <c r="U124" s="53"/>
      <c r="V124" s="53"/>
      <c r="W124" s="53"/>
      <c r="X124" s="53"/>
      <c r="AP124" s="54"/>
    </row>
    <row r="125" spans="1:42" ht="18" customHeight="1" x14ac:dyDescent="0.3">
      <c r="A125" s="7"/>
      <c r="H125" s="53"/>
      <c r="R125" s="53"/>
      <c r="T125" s="53"/>
      <c r="U125" s="53"/>
      <c r="V125" s="53"/>
      <c r="W125" s="53"/>
      <c r="X125" s="53"/>
      <c r="AP125" s="54"/>
    </row>
    <row r="126" spans="1:42" ht="18" customHeight="1" x14ac:dyDescent="0.3">
      <c r="A126" s="7"/>
      <c r="H126" s="53"/>
      <c r="R126" s="53"/>
      <c r="T126" s="53"/>
      <c r="U126" s="53"/>
      <c r="V126" s="53"/>
      <c r="W126" s="53"/>
      <c r="X126" s="53"/>
      <c r="AP126" s="54"/>
    </row>
    <row r="127" spans="1:42" ht="18" customHeight="1" x14ac:dyDescent="0.3">
      <c r="A127" s="7"/>
      <c r="H127" s="53"/>
      <c r="R127" s="53"/>
      <c r="T127" s="53"/>
      <c r="U127" s="53"/>
      <c r="V127" s="53"/>
      <c r="W127" s="53"/>
      <c r="X127" s="53"/>
      <c r="AP127" s="54"/>
    </row>
    <row r="128" spans="1:42" ht="18" customHeight="1" x14ac:dyDescent="0.3">
      <c r="A128" s="7"/>
      <c r="H128" s="53"/>
      <c r="R128" s="53"/>
      <c r="T128" s="53"/>
      <c r="U128" s="53"/>
      <c r="V128" s="53"/>
      <c r="W128" s="53"/>
      <c r="X128" s="53"/>
      <c r="AP128" s="54"/>
    </row>
    <row r="129" spans="1:42" ht="18" customHeight="1" x14ac:dyDescent="0.3">
      <c r="A129" s="7"/>
      <c r="H129" s="53"/>
      <c r="R129" s="53"/>
      <c r="T129" s="53"/>
      <c r="U129" s="53"/>
      <c r="V129" s="53"/>
      <c r="W129" s="53"/>
      <c r="X129" s="53"/>
      <c r="AP129" s="54"/>
    </row>
    <row r="130" spans="1:42" ht="18" customHeight="1" x14ac:dyDescent="0.3">
      <c r="A130" s="7"/>
      <c r="H130" s="53"/>
      <c r="R130" s="53"/>
      <c r="T130" s="53"/>
      <c r="U130" s="53"/>
      <c r="V130" s="53"/>
      <c r="W130" s="53"/>
      <c r="X130" s="53"/>
      <c r="AP130" s="54"/>
    </row>
    <row r="131" spans="1:42" ht="18" customHeight="1" x14ac:dyDescent="0.3">
      <c r="A131" s="7"/>
      <c r="H131" s="53"/>
      <c r="R131" s="53"/>
      <c r="T131" s="53"/>
      <c r="U131" s="53"/>
      <c r="V131" s="53"/>
      <c r="W131" s="53"/>
      <c r="X131" s="53"/>
      <c r="AP131" s="54"/>
    </row>
    <row r="132" spans="1:42" ht="18" customHeight="1" x14ac:dyDescent="0.3">
      <c r="A132" s="7"/>
      <c r="H132" s="53"/>
      <c r="R132" s="53"/>
      <c r="T132" s="53"/>
      <c r="U132" s="53"/>
      <c r="V132" s="53"/>
      <c r="W132" s="53"/>
      <c r="X132" s="53"/>
      <c r="AP132" s="54"/>
    </row>
    <row r="133" spans="1:42" ht="18" customHeight="1" x14ac:dyDescent="0.3">
      <c r="A133" s="7"/>
      <c r="H133" s="53"/>
      <c r="R133" s="53"/>
      <c r="T133" s="53"/>
      <c r="U133" s="53"/>
      <c r="V133" s="53"/>
      <c r="W133" s="53"/>
      <c r="X133" s="53"/>
      <c r="AP133" s="54"/>
    </row>
    <row r="134" spans="1:42" ht="18" customHeight="1" x14ac:dyDescent="0.3">
      <c r="A134" s="7"/>
      <c r="H134" s="53"/>
      <c r="R134" s="53"/>
      <c r="T134" s="53"/>
      <c r="U134" s="53"/>
      <c r="V134" s="53"/>
      <c r="W134" s="53"/>
      <c r="X134" s="53"/>
      <c r="AP134" s="54"/>
    </row>
    <row r="135" spans="1:42" ht="18" customHeight="1" x14ac:dyDescent="0.3">
      <c r="A135" s="7"/>
      <c r="H135" s="53"/>
      <c r="R135" s="53"/>
      <c r="T135" s="53"/>
      <c r="U135" s="53"/>
      <c r="V135" s="53"/>
      <c r="W135" s="53"/>
      <c r="X135" s="53"/>
      <c r="AP135" s="54"/>
    </row>
    <row r="136" spans="1:42" ht="18" customHeight="1" x14ac:dyDescent="0.3">
      <c r="A136" s="7"/>
      <c r="H136" s="53"/>
      <c r="R136" s="53"/>
      <c r="T136" s="53"/>
      <c r="U136" s="53"/>
      <c r="V136" s="53"/>
      <c r="W136" s="53"/>
      <c r="X136" s="53"/>
      <c r="AP136" s="54"/>
    </row>
    <row r="137" spans="1:42" ht="18" customHeight="1" x14ac:dyDescent="0.3">
      <c r="A137" s="7"/>
      <c r="H137" s="53"/>
      <c r="R137" s="53"/>
      <c r="T137" s="53"/>
      <c r="U137" s="53"/>
      <c r="V137" s="53"/>
      <c r="W137" s="53"/>
      <c r="X137" s="53"/>
      <c r="AP137" s="54"/>
    </row>
    <row r="138" spans="1:42" ht="18" customHeight="1" x14ac:dyDescent="0.3">
      <c r="A138" s="7"/>
      <c r="H138" s="53"/>
      <c r="R138" s="53"/>
      <c r="T138" s="53"/>
      <c r="U138" s="53"/>
      <c r="V138" s="53"/>
      <c r="W138" s="53"/>
      <c r="X138" s="53"/>
      <c r="AP138" s="54"/>
    </row>
    <row r="139" spans="1:42" ht="18" customHeight="1" x14ac:dyDescent="0.3">
      <c r="A139" s="7"/>
      <c r="H139" s="53"/>
      <c r="R139" s="53"/>
      <c r="T139" s="53"/>
      <c r="U139" s="53"/>
      <c r="V139" s="53"/>
      <c r="W139" s="53"/>
      <c r="X139" s="53"/>
      <c r="AP139" s="54"/>
    </row>
    <row r="140" spans="1:42" ht="18" customHeight="1" x14ac:dyDescent="0.3">
      <c r="A140" s="7"/>
      <c r="H140" s="53"/>
      <c r="R140" s="53"/>
      <c r="T140" s="53"/>
      <c r="U140" s="53"/>
      <c r="V140" s="53"/>
      <c r="W140" s="53"/>
      <c r="X140" s="53"/>
      <c r="AP140" s="54"/>
    </row>
    <row r="141" spans="1:42" ht="18" customHeight="1" x14ac:dyDescent="0.3">
      <c r="A141" s="7"/>
      <c r="H141" s="53"/>
      <c r="R141" s="53"/>
      <c r="T141" s="53"/>
      <c r="U141" s="53"/>
      <c r="V141" s="53"/>
      <c r="W141" s="53"/>
      <c r="X141" s="53"/>
      <c r="AP141" s="54"/>
    </row>
    <row r="142" spans="1:42" ht="18" customHeight="1" x14ac:dyDescent="0.3">
      <c r="A142" s="7"/>
      <c r="H142" s="53"/>
      <c r="R142" s="53"/>
      <c r="T142" s="53"/>
      <c r="U142" s="53"/>
      <c r="V142" s="53"/>
      <c r="W142" s="53"/>
      <c r="X142" s="53"/>
      <c r="AP142" s="54"/>
    </row>
    <row r="143" spans="1:42" ht="18" customHeight="1" x14ac:dyDescent="0.3">
      <c r="A143" s="7"/>
      <c r="H143" s="53"/>
      <c r="R143" s="53"/>
      <c r="T143" s="53"/>
      <c r="U143" s="53"/>
      <c r="V143" s="53"/>
      <c r="W143" s="53"/>
      <c r="X143" s="53"/>
      <c r="AP143" s="54"/>
    </row>
    <row r="144" spans="1:42" ht="18" customHeight="1" x14ac:dyDescent="0.3">
      <c r="A144" s="7"/>
      <c r="H144" s="53"/>
      <c r="R144" s="53"/>
      <c r="T144" s="53"/>
      <c r="U144" s="53"/>
      <c r="V144" s="53"/>
      <c r="W144" s="53"/>
      <c r="X144" s="53"/>
      <c r="AP144" s="54"/>
    </row>
    <row r="145" spans="1:42" ht="18" customHeight="1" x14ac:dyDescent="0.3">
      <c r="A145" s="7"/>
      <c r="H145" s="53"/>
      <c r="R145" s="53"/>
      <c r="T145" s="53"/>
      <c r="U145" s="53"/>
      <c r="V145" s="53"/>
      <c r="W145" s="53"/>
      <c r="X145" s="53"/>
      <c r="AP145" s="54"/>
    </row>
    <row r="146" spans="1:42" ht="18" customHeight="1" x14ac:dyDescent="0.3">
      <c r="A146" s="7"/>
      <c r="H146" s="53"/>
      <c r="R146" s="53"/>
      <c r="T146" s="53"/>
      <c r="U146" s="53"/>
      <c r="V146" s="53"/>
      <c r="W146" s="53"/>
      <c r="X146" s="53"/>
      <c r="AP146" s="54"/>
    </row>
    <row r="147" spans="1:42" ht="18" customHeight="1" x14ac:dyDescent="0.3">
      <c r="A147" s="7"/>
      <c r="H147" s="53"/>
      <c r="R147" s="53"/>
      <c r="T147" s="53"/>
      <c r="U147" s="53"/>
      <c r="V147" s="53"/>
      <c r="W147" s="53"/>
      <c r="X147" s="53"/>
      <c r="AP147" s="54"/>
    </row>
    <row r="148" spans="1:42" ht="18" customHeight="1" x14ac:dyDescent="0.3">
      <c r="A148" s="7"/>
      <c r="H148" s="53"/>
      <c r="R148" s="53"/>
      <c r="T148" s="53"/>
      <c r="U148" s="53"/>
      <c r="V148" s="53"/>
      <c r="W148" s="53"/>
      <c r="X148" s="53"/>
      <c r="AP148" s="54"/>
    </row>
    <row r="149" spans="1:42" ht="18" customHeight="1" x14ac:dyDescent="0.3">
      <c r="A149" s="7"/>
      <c r="H149" s="53"/>
      <c r="R149" s="53"/>
      <c r="T149" s="53"/>
      <c r="U149" s="53"/>
      <c r="V149" s="53"/>
      <c r="W149" s="53"/>
      <c r="X149" s="53"/>
      <c r="AP149" s="54"/>
    </row>
    <row r="150" spans="1:42" ht="18" customHeight="1" x14ac:dyDescent="0.3">
      <c r="A150" s="7"/>
      <c r="H150" s="53"/>
      <c r="R150" s="53"/>
      <c r="T150" s="53"/>
      <c r="U150" s="53"/>
      <c r="V150" s="53"/>
      <c r="W150" s="53"/>
      <c r="X150" s="53"/>
      <c r="AP150" s="54"/>
    </row>
    <row r="151" spans="1:42" ht="18" customHeight="1" x14ac:dyDescent="0.3">
      <c r="A151" s="7"/>
      <c r="H151" s="53"/>
      <c r="R151" s="53"/>
      <c r="T151" s="53"/>
      <c r="U151" s="53"/>
      <c r="V151" s="53"/>
      <c r="W151" s="53"/>
      <c r="X151" s="53"/>
      <c r="AP151" s="54"/>
    </row>
    <row r="152" spans="1:42" ht="18" customHeight="1" x14ac:dyDescent="0.3">
      <c r="A152" s="7"/>
      <c r="H152" s="53"/>
      <c r="R152" s="53"/>
      <c r="T152" s="53"/>
      <c r="U152" s="53"/>
      <c r="V152" s="53"/>
      <c r="W152" s="53"/>
      <c r="X152" s="53"/>
      <c r="AP152" s="54"/>
    </row>
    <row r="153" spans="1:42" ht="18" customHeight="1" x14ac:dyDescent="0.3">
      <c r="A153" s="7"/>
      <c r="H153" s="53"/>
      <c r="R153" s="53"/>
      <c r="T153" s="53"/>
      <c r="U153" s="53"/>
      <c r="V153" s="53"/>
      <c r="W153" s="53"/>
      <c r="X153" s="53"/>
      <c r="AP153" s="54"/>
    </row>
    <row r="154" spans="1:42" ht="18" customHeight="1" x14ac:dyDescent="0.3">
      <c r="A154" s="7"/>
      <c r="H154" s="53"/>
      <c r="R154" s="53"/>
      <c r="T154" s="53"/>
      <c r="U154" s="53"/>
      <c r="V154" s="53"/>
      <c r="W154" s="53"/>
      <c r="X154" s="53"/>
      <c r="AP154" s="54"/>
    </row>
    <row r="155" spans="1:42" ht="18" customHeight="1" x14ac:dyDescent="0.3">
      <c r="A155" s="7"/>
      <c r="H155" s="53"/>
      <c r="R155" s="53"/>
      <c r="T155" s="53"/>
      <c r="U155" s="53"/>
      <c r="V155" s="53"/>
      <c r="W155" s="53"/>
      <c r="X155" s="53"/>
      <c r="AP155" s="54"/>
    </row>
    <row r="156" spans="1:42" ht="18" customHeight="1" x14ac:dyDescent="0.3">
      <c r="A156" s="7"/>
      <c r="H156" s="53"/>
      <c r="R156" s="53"/>
      <c r="T156" s="53"/>
      <c r="U156" s="53"/>
      <c r="V156" s="53"/>
      <c r="W156" s="53"/>
      <c r="X156" s="53"/>
      <c r="AP156" s="54"/>
    </row>
    <row r="157" spans="1:42" ht="18" customHeight="1" x14ac:dyDescent="0.3">
      <c r="A157" s="7"/>
      <c r="H157" s="53"/>
      <c r="R157" s="53"/>
      <c r="T157" s="53"/>
      <c r="U157" s="53"/>
      <c r="V157" s="53"/>
      <c r="W157" s="53"/>
      <c r="X157" s="53"/>
      <c r="AP157" s="54"/>
    </row>
    <row r="158" spans="1:42" ht="18" customHeight="1" x14ac:dyDescent="0.3">
      <c r="A158" s="7"/>
      <c r="H158" s="53"/>
      <c r="R158" s="53"/>
      <c r="T158" s="53"/>
      <c r="U158" s="53"/>
      <c r="V158" s="53"/>
      <c r="W158" s="53"/>
      <c r="X158" s="53"/>
      <c r="AP158" s="54"/>
    </row>
    <row r="159" spans="1:42" ht="18" customHeight="1" x14ac:dyDescent="0.3">
      <c r="A159" s="7"/>
      <c r="H159" s="53"/>
      <c r="R159" s="53"/>
      <c r="T159" s="53"/>
      <c r="U159" s="53"/>
      <c r="V159" s="53"/>
      <c r="W159" s="53"/>
      <c r="X159" s="53"/>
      <c r="AP159" s="54"/>
    </row>
    <row r="160" spans="1:42" ht="18" customHeight="1" x14ac:dyDescent="0.3">
      <c r="A160" s="7"/>
      <c r="H160" s="53"/>
      <c r="R160" s="53"/>
      <c r="T160" s="53"/>
      <c r="U160" s="53"/>
      <c r="V160" s="53"/>
      <c r="W160" s="53"/>
      <c r="X160" s="53"/>
      <c r="AP160" s="54"/>
    </row>
    <row r="161" spans="1:42" ht="18" customHeight="1" x14ac:dyDescent="0.3">
      <c r="A161" s="7"/>
      <c r="H161" s="53"/>
      <c r="R161" s="53"/>
      <c r="T161" s="53"/>
      <c r="U161" s="53"/>
      <c r="V161" s="53"/>
      <c r="W161" s="53"/>
      <c r="X161" s="53"/>
      <c r="AP161" s="54"/>
    </row>
    <row r="162" spans="1:42" ht="18" customHeight="1" x14ac:dyDescent="0.3">
      <c r="A162" s="7"/>
      <c r="H162" s="53"/>
      <c r="R162" s="53"/>
      <c r="T162" s="53"/>
      <c r="U162" s="53"/>
      <c r="V162" s="53"/>
      <c r="W162" s="53"/>
      <c r="X162" s="53"/>
      <c r="AP162" s="54"/>
    </row>
    <row r="163" spans="1:42" ht="18" customHeight="1" x14ac:dyDescent="0.3">
      <c r="A163" s="7"/>
      <c r="H163" s="53"/>
      <c r="R163" s="53"/>
      <c r="T163" s="53"/>
      <c r="U163" s="53"/>
      <c r="V163" s="53"/>
      <c r="W163" s="53"/>
      <c r="X163" s="53"/>
      <c r="AP163" s="54"/>
    </row>
    <row r="164" spans="1:42" ht="18" customHeight="1" x14ac:dyDescent="0.3">
      <c r="A164" s="7"/>
      <c r="H164" s="53"/>
      <c r="R164" s="53"/>
      <c r="T164" s="53"/>
      <c r="U164" s="53"/>
      <c r="V164" s="53"/>
      <c r="W164" s="53"/>
      <c r="X164" s="53"/>
      <c r="AP164" s="54"/>
    </row>
    <row r="165" spans="1:42" ht="18" customHeight="1" x14ac:dyDescent="0.3">
      <c r="A165" s="7"/>
      <c r="H165" s="53"/>
      <c r="R165" s="53"/>
      <c r="T165" s="53"/>
      <c r="U165" s="53"/>
      <c r="V165" s="53"/>
      <c r="W165" s="53"/>
      <c r="X165" s="53"/>
      <c r="AP165" s="54"/>
    </row>
    <row r="166" spans="1:42" ht="18" customHeight="1" x14ac:dyDescent="0.3">
      <c r="A166" s="7"/>
      <c r="H166" s="53"/>
      <c r="R166" s="53"/>
      <c r="T166" s="53"/>
      <c r="U166" s="53"/>
      <c r="V166" s="53"/>
      <c r="W166" s="53"/>
      <c r="X166" s="53"/>
      <c r="AP166" s="54"/>
    </row>
    <row r="167" spans="1:42" ht="18" customHeight="1" x14ac:dyDescent="0.3">
      <c r="A167" s="7"/>
      <c r="H167" s="53"/>
      <c r="R167" s="53"/>
      <c r="T167" s="53"/>
      <c r="U167" s="53"/>
      <c r="V167" s="53"/>
      <c r="W167" s="53"/>
      <c r="X167" s="53"/>
      <c r="AP167" s="54"/>
    </row>
    <row r="168" spans="1:42" ht="18" customHeight="1" x14ac:dyDescent="0.3">
      <c r="A168" s="7"/>
      <c r="H168" s="53"/>
      <c r="R168" s="53"/>
      <c r="T168" s="53"/>
      <c r="U168" s="53"/>
      <c r="V168" s="53"/>
      <c r="W168" s="53"/>
      <c r="X168" s="53"/>
      <c r="AP168" s="54"/>
    </row>
    <row r="169" spans="1:42" ht="18" customHeight="1" x14ac:dyDescent="0.3">
      <c r="A169" s="7"/>
      <c r="H169" s="53"/>
      <c r="R169" s="53"/>
      <c r="T169" s="53"/>
      <c r="U169" s="53"/>
      <c r="V169" s="53"/>
      <c r="W169" s="53"/>
      <c r="X169" s="53"/>
      <c r="AP169" s="54"/>
    </row>
    <row r="170" spans="1:42" ht="18" customHeight="1" x14ac:dyDescent="0.3">
      <c r="A170" s="7"/>
      <c r="H170" s="53"/>
      <c r="R170" s="53"/>
      <c r="T170" s="53"/>
      <c r="U170" s="53"/>
      <c r="V170" s="53"/>
      <c r="W170" s="53"/>
      <c r="X170" s="53"/>
      <c r="AP170" s="54"/>
    </row>
    <row r="171" spans="1:42" ht="18" customHeight="1" x14ac:dyDescent="0.3">
      <c r="A171" s="7"/>
      <c r="H171" s="53"/>
      <c r="R171" s="53"/>
      <c r="T171" s="53"/>
      <c r="U171" s="53"/>
      <c r="V171" s="53"/>
      <c r="W171" s="53"/>
      <c r="X171" s="53"/>
      <c r="AP171" s="54"/>
    </row>
    <row r="172" spans="1:42" ht="18" customHeight="1" x14ac:dyDescent="0.3">
      <c r="A172" s="7"/>
      <c r="H172" s="53"/>
      <c r="R172" s="53"/>
      <c r="T172" s="53"/>
      <c r="U172" s="53"/>
      <c r="V172" s="53"/>
      <c r="W172" s="53"/>
      <c r="X172" s="53"/>
      <c r="AP172" s="54"/>
    </row>
    <row r="173" spans="1:42" ht="18" customHeight="1" x14ac:dyDescent="0.3">
      <c r="A173" s="7"/>
      <c r="H173" s="53"/>
      <c r="R173" s="53"/>
      <c r="T173" s="53"/>
      <c r="U173" s="53"/>
      <c r="V173" s="53"/>
      <c r="W173" s="53"/>
      <c r="X173" s="53"/>
      <c r="AP173" s="54"/>
    </row>
    <row r="174" spans="1:42" ht="18" customHeight="1" x14ac:dyDescent="0.3">
      <c r="A174" s="7"/>
      <c r="H174" s="53"/>
      <c r="R174" s="53"/>
      <c r="T174" s="53"/>
      <c r="U174" s="53"/>
      <c r="V174" s="53"/>
      <c r="W174" s="53"/>
      <c r="X174" s="53"/>
      <c r="AP174" s="54"/>
    </row>
    <row r="175" spans="1:42" ht="18" customHeight="1" x14ac:dyDescent="0.3">
      <c r="A175" s="7"/>
      <c r="H175" s="53"/>
      <c r="R175" s="53"/>
      <c r="T175" s="53"/>
      <c r="U175" s="53"/>
      <c r="V175" s="53"/>
      <c r="W175" s="53"/>
      <c r="X175" s="53"/>
      <c r="AP175" s="54"/>
    </row>
    <row r="176" spans="1:42" ht="18" customHeight="1" x14ac:dyDescent="0.3">
      <c r="A176" s="7"/>
      <c r="H176" s="53"/>
      <c r="R176" s="53"/>
      <c r="T176" s="53"/>
      <c r="U176" s="53"/>
      <c r="V176" s="53"/>
      <c r="W176" s="53"/>
      <c r="X176" s="53"/>
      <c r="AP176" s="54"/>
    </row>
    <row r="177" spans="1:42" ht="18" customHeight="1" x14ac:dyDescent="0.3">
      <c r="A177" s="7"/>
      <c r="H177" s="53"/>
      <c r="R177" s="53"/>
      <c r="T177" s="53"/>
      <c r="U177" s="53"/>
      <c r="V177" s="53"/>
      <c r="W177" s="53"/>
      <c r="X177" s="53"/>
      <c r="AP177" s="54"/>
    </row>
    <row r="178" spans="1:42" ht="18" customHeight="1" x14ac:dyDescent="0.3">
      <c r="A178" s="7"/>
      <c r="H178" s="53"/>
      <c r="R178" s="53"/>
      <c r="T178" s="53"/>
      <c r="U178" s="53"/>
      <c r="V178" s="53"/>
      <c r="W178" s="53"/>
      <c r="X178" s="53"/>
      <c r="AP178" s="54"/>
    </row>
    <row r="179" spans="1:42" ht="18" customHeight="1" x14ac:dyDescent="0.3">
      <c r="A179" s="7"/>
      <c r="H179" s="53"/>
      <c r="R179" s="53"/>
      <c r="T179" s="53"/>
      <c r="U179" s="53"/>
      <c r="V179" s="53"/>
      <c r="W179" s="53"/>
      <c r="X179" s="53"/>
      <c r="AP179" s="54"/>
    </row>
    <row r="180" spans="1:42" ht="18" customHeight="1" x14ac:dyDescent="0.3">
      <c r="A180" s="7"/>
      <c r="H180" s="53"/>
      <c r="R180" s="53"/>
      <c r="T180" s="53"/>
      <c r="U180" s="53"/>
      <c r="V180" s="53"/>
      <c r="W180" s="53"/>
      <c r="X180" s="53"/>
      <c r="AP180" s="54"/>
    </row>
    <row r="181" spans="1:42" ht="18" customHeight="1" x14ac:dyDescent="0.3">
      <c r="A181" s="7"/>
      <c r="H181" s="53"/>
      <c r="R181" s="53"/>
      <c r="T181" s="53"/>
      <c r="U181" s="53"/>
      <c r="V181" s="53"/>
      <c r="W181" s="53"/>
      <c r="X181" s="53"/>
      <c r="AP181" s="54"/>
    </row>
    <row r="182" spans="1:42" ht="18" customHeight="1" x14ac:dyDescent="0.3">
      <c r="A182" s="7"/>
      <c r="H182" s="53"/>
      <c r="R182" s="53"/>
      <c r="T182" s="53"/>
      <c r="U182" s="53"/>
      <c r="V182" s="53"/>
      <c r="W182" s="53"/>
      <c r="X182" s="53"/>
      <c r="AP182" s="54"/>
    </row>
    <row r="183" spans="1:42" ht="18" customHeight="1" x14ac:dyDescent="0.3">
      <c r="A183" s="7"/>
      <c r="H183" s="53"/>
      <c r="R183" s="53"/>
      <c r="T183" s="53"/>
      <c r="U183" s="53"/>
      <c r="V183" s="53"/>
      <c r="W183" s="53"/>
      <c r="X183" s="53"/>
      <c r="AP183" s="54"/>
    </row>
    <row r="184" spans="1:42" ht="18" customHeight="1" x14ac:dyDescent="0.3">
      <c r="A184" s="7"/>
      <c r="H184" s="53"/>
      <c r="R184" s="53"/>
      <c r="T184" s="53"/>
      <c r="U184" s="53"/>
      <c r="V184" s="53"/>
      <c r="W184" s="53"/>
      <c r="X184" s="53"/>
      <c r="AP184" s="54"/>
    </row>
    <row r="185" spans="1:42" ht="18" customHeight="1" x14ac:dyDescent="0.3">
      <c r="A185" s="7"/>
      <c r="H185" s="53"/>
      <c r="R185" s="53"/>
      <c r="T185" s="53"/>
      <c r="U185" s="53"/>
      <c r="V185" s="53"/>
      <c r="W185" s="53"/>
      <c r="X185" s="53"/>
      <c r="AP185" s="54"/>
    </row>
    <row r="186" spans="1:42" ht="18" customHeight="1" x14ac:dyDescent="0.3">
      <c r="A186" s="7"/>
      <c r="H186" s="53"/>
      <c r="R186" s="53"/>
      <c r="T186" s="53"/>
      <c r="U186" s="53"/>
      <c r="V186" s="53"/>
      <c r="W186" s="53"/>
      <c r="X186" s="53"/>
      <c r="AP186" s="54"/>
    </row>
    <row r="187" spans="1:42" ht="18" customHeight="1" x14ac:dyDescent="0.3">
      <c r="A187" s="7"/>
      <c r="H187" s="53"/>
      <c r="R187" s="53"/>
      <c r="T187" s="53"/>
      <c r="U187" s="53"/>
      <c r="V187" s="53"/>
      <c r="W187" s="53"/>
      <c r="X187" s="53"/>
      <c r="AP187" s="54"/>
    </row>
    <row r="188" spans="1:42" ht="18" customHeight="1" x14ac:dyDescent="0.3">
      <c r="A188" s="7"/>
      <c r="H188" s="53"/>
      <c r="R188" s="53"/>
      <c r="T188" s="53"/>
      <c r="U188" s="53"/>
      <c r="V188" s="53"/>
      <c r="W188" s="53"/>
      <c r="X188" s="53"/>
      <c r="AP188" s="54"/>
    </row>
    <row r="189" spans="1:42" ht="18" customHeight="1" x14ac:dyDescent="0.3">
      <c r="A189" s="7"/>
      <c r="H189" s="53"/>
      <c r="R189" s="53"/>
      <c r="T189" s="53"/>
      <c r="U189" s="53"/>
      <c r="V189" s="53"/>
      <c r="W189" s="53"/>
      <c r="X189" s="53"/>
      <c r="AP189" s="54"/>
    </row>
    <row r="190" spans="1:42" ht="18" customHeight="1" x14ac:dyDescent="0.3">
      <c r="A190" s="7"/>
      <c r="H190" s="53"/>
      <c r="R190" s="53"/>
      <c r="T190" s="53"/>
      <c r="U190" s="53"/>
      <c r="V190" s="53"/>
      <c r="W190" s="53"/>
      <c r="X190" s="53"/>
      <c r="AP190" s="54"/>
    </row>
    <row r="191" spans="1:42" ht="18" customHeight="1" x14ac:dyDescent="0.3">
      <c r="A191" s="7"/>
      <c r="H191" s="53"/>
      <c r="R191" s="53"/>
      <c r="T191" s="53"/>
      <c r="U191" s="53"/>
      <c r="V191" s="53"/>
      <c r="W191" s="53"/>
      <c r="X191" s="53"/>
      <c r="AP191" s="54"/>
    </row>
    <row r="192" spans="1:42" ht="18" customHeight="1" x14ac:dyDescent="0.3">
      <c r="A192" s="7"/>
      <c r="H192" s="53"/>
      <c r="R192" s="53"/>
      <c r="T192" s="53"/>
      <c r="U192" s="53"/>
      <c r="V192" s="53"/>
      <c r="W192" s="53"/>
      <c r="X192" s="53"/>
      <c r="AP192" s="54"/>
    </row>
    <row r="193" spans="1:42" ht="18" customHeight="1" x14ac:dyDescent="0.3">
      <c r="A193" s="7"/>
      <c r="H193" s="53"/>
      <c r="R193" s="53"/>
      <c r="T193" s="53"/>
      <c r="U193" s="53"/>
      <c r="V193" s="53"/>
      <c r="W193" s="53"/>
      <c r="X193" s="53"/>
      <c r="AP193" s="54"/>
    </row>
    <row r="194" spans="1:42" ht="18" customHeight="1" x14ac:dyDescent="0.3">
      <c r="A194" s="7"/>
      <c r="H194" s="53"/>
      <c r="R194" s="53"/>
      <c r="T194" s="53"/>
      <c r="U194" s="53"/>
      <c r="V194" s="53"/>
      <c r="W194" s="53"/>
      <c r="X194" s="53"/>
      <c r="AP194" s="54"/>
    </row>
    <row r="195" spans="1:42" ht="18" customHeight="1" x14ac:dyDescent="0.3">
      <c r="A195" s="7"/>
      <c r="H195" s="53"/>
      <c r="R195" s="53"/>
      <c r="T195" s="53"/>
      <c r="U195" s="53"/>
      <c r="V195" s="53"/>
      <c r="W195" s="53"/>
      <c r="X195" s="53"/>
      <c r="AP195" s="54"/>
    </row>
    <row r="196" spans="1:42" ht="18" customHeight="1" x14ac:dyDescent="0.3">
      <c r="A196" s="7"/>
      <c r="H196" s="53"/>
      <c r="R196" s="53"/>
      <c r="T196" s="53"/>
      <c r="U196" s="53"/>
      <c r="V196" s="53"/>
      <c r="W196" s="53"/>
      <c r="X196" s="53"/>
      <c r="AP196" s="54"/>
    </row>
    <row r="197" spans="1:42" ht="18" customHeight="1" x14ac:dyDescent="0.3">
      <c r="A197" s="7"/>
      <c r="H197" s="53"/>
      <c r="R197" s="53"/>
      <c r="T197" s="53"/>
      <c r="U197" s="53"/>
      <c r="V197" s="53"/>
      <c r="W197" s="53"/>
      <c r="X197" s="53"/>
      <c r="AP197" s="54"/>
    </row>
    <row r="198" spans="1:42" ht="18" customHeight="1" x14ac:dyDescent="0.3">
      <c r="A198" s="7"/>
      <c r="H198" s="53"/>
      <c r="R198" s="53"/>
      <c r="T198" s="53"/>
      <c r="U198" s="53"/>
      <c r="V198" s="53"/>
      <c r="W198" s="53"/>
      <c r="X198" s="53"/>
      <c r="AP198" s="54"/>
    </row>
    <row r="199" spans="1:42" ht="18" customHeight="1" x14ac:dyDescent="0.3">
      <c r="A199" s="7"/>
      <c r="H199" s="53"/>
      <c r="R199" s="53"/>
      <c r="T199" s="53"/>
      <c r="U199" s="53"/>
      <c r="V199" s="53"/>
      <c r="W199" s="53"/>
      <c r="X199" s="53"/>
      <c r="AP199" s="54"/>
    </row>
    <row r="200" spans="1:42" ht="18" customHeight="1" x14ac:dyDescent="0.3">
      <c r="A200" s="7"/>
      <c r="H200" s="53"/>
      <c r="R200" s="53"/>
      <c r="T200" s="53"/>
      <c r="U200" s="53"/>
      <c r="V200" s="53"/>
      <c r="W200" s="53"/>
      <c r="X200" s="53"/>
      <c r="AP200" s="54"/>
    </row>
    <row r="201" spans="1:42" ht="18" customHeight="1" x14ac:dyDescent="0.3">
      <c r="A201" s="7"/>
      <c r="H201" s="53"/>
      <c r="R201" s="53"/>
      <c r="T201" s="53"/>
      <c r="U201" s="53"/>
      <c r="V201" s="53"/>
      <c r="W201" s="53"/>
      <c r="X201" s="53"/>
      <c r="AP201" s="54"/>
    </row>
    <row r="202" spans="1:42" ht="18" customHeight="1" x14ac:dyDescent="0.3">
      <c r="A202" s="7"/>
      <c r="H202" s="53"/>
      <c r="R202" s="53"/>
      <c r="T202" s="53"/>
      <c r="U202" s="53"/>
      <c r="V202" s="53"/>
      <c r="W202" s="53"/>
      <c r="X202" s="53"/>
      <c r="AP202" s="54"/>
    </row>
    <row r="203" spans="1:42" ht="18" customHeight="1" x14ac:dyDescent="0.3">
      <c r="A203" s="7"/>
      <c r="H203" s="53"/>
      <c r="R203" s="53"/>
      <c r="T203" s="53"/>
      <c r="U203" s="53"/>
      <c r="V203" s="53"/>
      <c r="W203" s="53"/>
      <c r="X203" s="53"/>
      <c r="AP203" s="54"/>
    </row>
    <row r="204" spans="1:42" ht="18" customHeight="1" x14ac:dyDescent="0.3">
      <c r="A204" s="7"/>
      <c r="H204" s="53"/>
      <c r="R204" s="53"/>
      <c r="T204" s="53"/>
      <c r="U204" s="53"/>
      <c r="V204" s="53"/>
      <c r="W204" s="53"/>
      <c r="X204" s="53"/>
      <c r="AP204" s="54"/>
    </row>
    <row r="205" spans="1:42" ht="18" customHeight="1" x14ac:dyDescent="0.3">
      <c r="A205" s="7"/>
      <c r="H205" s="53"/>
      <c r="R205" s="53"/>
      <c r="T205" s="53"/>
      <c r="U205" s="53"/>
      <c r="V205" s="53"/>
      <c r="W205" s="53"/>
      <c r="X205" s="53"/>
      <c r="AP205" s="54"/>
    </row>
    <row r="206" spans="1:42" ht="18" customHeight="1" x14ac:dyDescent="0.3">
      <c r="A206" s="7"/>
      <c r="H206" s="53"/>
      <c r="R206" s="53"/>
      <c r="T206" s="53"/>
      <c r="U206" s="53"/>
      <c r="V206" s="53"/>
      <c r="W206" s="53"/>
      <c r="X206" s="53"/>
      <c r="AP206" s="54"/>
    </row>
    <row r="207" spans="1:42" ht="18" customHeight="1" x14ac:dyDescent="0.3">
      <c r="A207" s="7"/>
      <c r="H207" s="53"/>
      <c r="R207" s="53"/>
      <c r="T207" s="53"/>
      <c r="U207" s="53"/>
      <c r="V207" s="53"/>
      <c r="W207" s="53"/>
      <c r="X207" s="53"/>
      <c r="AP207" s="54"/>
    </row>
    <row r="208" spans="1:42" ht="18" customHeight="1" x14ac:dyDescent="0.3">
      <c r="A208" s="7"/>
      <c r="H208" s="53"/>
      <c r="R208" s="53"/>
      <c r="T208" s="53"/>
      <c r="U208" s="53"/>
      <c r="V208" s="53"/>
      <c r="W208" s="53"/>
      <c r="X208" s="53"/>
      <c r="AP208" s="54"/>
    </row>
    <row r="209" spans="1:42" ht="18" customHeight="1" x14ac:dyDescent="0.3">
      <c r="A209" s="7"/>
      <c r="H209" s="53"/>
      <c r="R209" s="53"/>
      <c r="T209" s="53"/>
      <c r="U209" s="53"/>
      <c r="V209" s="53"/>
      <c r="W209" s="53"/>
      <c r="X209" s="53"/>
      <c r="AP209" s="54"/>
    </row>
    <row r="210" spans="1:42" ht="18" customHeight="1" x14ac:dyDescent="0.3">
      <c r="A210" s="7"/>
      <c r="H210" s="53"/>
      <c r="R210" s="53"/>
      <c r="T210" s="53"/>
      <c r="U210" s="53"/>
      <c r="V210" s="53"/>
      <c r="W210" s="53"/>
      <c r="X210" s="53"/>
      <c r="AP210" s="54"/>
    </row>
    <row r="211" spans="1:42" ht="18" customHeight="1" x14ac:dyDescent="0.3">
      <c r="A211" s="7"/>
      <c r="H211" s="53"/>
      <c r="R211" s="53"/>
      <c r="T211" s="53"/>
      <c r="U211" s="53"/>
      <c r="V211" s="53"/>
      <c r="W211" s="53"/>
      <c r="X211" s="53"/>
      <c r="AP211" s="54"/>
    </row>
    <row r="212" spans="1:42" ht="18" customHeight="1" x14ac:dyDescent="0.3">
      <c r="A212" s="7"/>
      <c r="H212" s="53"/>
      <c r="R212" s="53"/>
      <c r="T212" s="53"/>
      <c r="U212" s="53"/>
      <c r="V212" s="53"/>
      <c r="W212" s="53"/>
      <c r="X212" s="53"/>
      <c r="AP212" s="54"/>
    </row>
    <row r="213" spans="1:42" ht="18" customHeight="1" x14ac:dyDescent="0.3">
      <c r="A213" s="7"/>
      <c r="H213" s="53"/>
      <c r="R213" s="53"/>
      <c r="T213" s="53"/>
      <c r="U213" s="53"/>
      <c r="V213" s="53"/>
      <c r="W213" s="53"/>
      <c r="X213" s="53"/>
      <c r="AP213" s="54"/>
    </row>
    <row r="214" spans="1:42" ht="18" customHeight="1" x14ac:dyDescent="0.3">
      <c r="A214" s="7"/>
      <c r="H214" s="53"/>
      <c r="R214" s="53"/>
      <c r="T214" s="53"/>
      <c r="U214" s="53"/>
      <c r="V214" s="53"/>
      <c r="W214" s="53"/>
      <c r="X214" s="53"/>
      <c r="AP214" s="54"/>
    </row>
    <row r="215" spans="1:42" ht="18" customHeight="1" x14ac:dyDescent="0.3">
      <c r="A215" s="7"/>
      <c r="H215" s="53"/>
      <c r="R215" s="53"/>
      <c r="T215" s="53"/>
      <c r="U215" s="53"/>
      <c r="V215" s="53"/>
      <c r="W215" s="53"/>
      <c r="X215" s="53"/>
      <c r="AP215" s="54"/>
    </row>
    <row r="216" spans="1:42" ht="18" customHeight="1" x14ac:dyDescent="0.3">
      <c r="A216" s="7"/>
      <c r="H216" s="53"/>
      <c r="R216" s="53"/>
      <c r="T216" s="53"/>
      <c r="U216" s="53"/>
      <c r="V216" s="53"/>
      <c r="W216" s="53"/>
      <c r="X216" s="53"/>
      <c r="AP216" s="54"/>
    </row>
    <row r="217" spans="1:42" ht="18" customHeight="1" x14ac:dyDescent="0.3">
      <c r="A217" s="7"/>
      <c r="H217" s="53"/>
      <c r="R217" s="53"/>
      <c r="T217" s="53"/>
      <c r="U217" s="53"/>
      <c r="V217" s="53"/>
      <c r="W217" s="53"/>
      <c r="X217" s="53"/>
      <c r="AP217" s="54"/>
    </row>
    <row r="218" spans="1:42" ht="18" customHeight="1" x14ac:dyDescent="0.3">
      <c r="A218" s="7"/>
      <c r="H218" s="53"/>
      <c r="R218" s="53"/>
      <c r="T218" s="53"/>
      <c r="U218" s="53"/>
      <c r="V218" s="53"/>
      <c r="W218" s="53"/>
      <c r="X218" s="53"/>
      <c r="AP218" s="54"/>
    </row>
    <row r="219" spans="1:42" ht="18" customHeight="1" x14ac:dyDescent="0.3">
      <c r="A219" s="7"/>
      <c r="H219" s="53"/>
      <c r="R219" s="53"/>
      <c r="T219" s="53"/>
      <c r="U219" s="53"/>
      <c r="V219" s="53"/>
      <c r="W219" s="53"/>
      <c r="X219" s="53"/>
      <c r="AP219" s="54"/>
    </row>
    <row r="220" spans="1:42" ht="18" customHeight="1" x14ac:dyDescent="0.3">
      <c r="A220" s="7"/>
      <c r="H220" s="53"/>
      <c r="R220" s="53"/>
      <c r="T220" s="53"/>
      <c r="U220" s="53"/>
      <c r="V220" s="53"/>
      <c r="W220" s="53"/>
      <c r="X220" s="53"/>
      <c r="AP220" s="54"/>
    </row>
    <row r="221" spans="1:42" ht="18" customHeight="1" x14ac:dyDescent="0.3">
      <c r="A221" s="7"/>
      <c r="H221" s="53"/>
      <c r="R221" s="53"/>
      <c r="T221" s="53"/>
      <c r="U221" s="53"/>
      <c r="V221" s="53"/>
      <c r="W221" s="53"/>
      <c r="X221" s="53"/>
      <c r="AP221" s="54"/>
    </row>
    <row r="222" spans="1:42" ht="18" customHeight="1" x14ac:dyDescent="0.3">
      <c r="A222" s="7"/>
      <c r="H222" s="53"/>
      <c r="R222" s="53"/>
      <c r="T222" s="53"/>
      <c r="U222" s="53"/>
      <c r="V222" s="53"/>
      <c r="W222" s="53"/>
      <c r="X222" s="53"/>
      <c r="AP222" s="54"/>
    </row>
    <row r="223" spans="1:42" ht="18" customHeight="1" x14ac:dyDescent="0.3">
      <c r="A223" s="7"/>
      <c r="H223" s="53"/>
      <c r="R223" s="53"/>
      <c r="T223" s="53"/>
      <c r="U223" s="53"/>
      <c r="V223" s="53"/>
      <c r="W223" s="53"/>
      <c r="X223" s="53"/>
      <c r="AP223" s="54"/>
    </row>
    <row r="224" spans="1:42" ht="18" customHeight="1" x14ac:dyDescent="0.3">
      <c r="A224" s="7"/>
      <c r="H224" s="53"/>
      <c r="R224" s="53"/>
      <c r="T224" s="53"/>
      <c r="U224" s="53"/>
      <c r="V224" s="53"/>
      <c r="W224" s="53"/>
      <c r="X224" s="53"/>
      <c r="AP224" s="54"/>
    </row>
    <row r="225" spans="1:42" ht="18" customHeight="1" x14ac:dyDescent="0.3">
      <c r="A225" s="7"/>
      <c r="H225" s="53"/>
      <c r="R225" s="53"/>
      <c r="T225" s="53"/>
      <c r="U225" s="53"/>
      <c r="V225" s="53"/>
      <c r="W225" s="53"/>
      <c r="X225" s="53"/>
      <c r="AP225" s="54"/>
    </row>
    <row r="226" spans="1:42" ht="18" customHeight="1" x14ac:dyDescent="0.3">
      <c r="A226" s="7"/>
      <c r="H226" s="53"/>
      <c r="R226" s="53"/>
      <c r="T226" s="53"/>
      <c r="U226" s="53"/>
      <c r="V226" s="53"/>
      <c r="W226" s="53"/>
      <c r="X226" s="53"/>
      <c r="AP226" s="54"/>
    </row>
    <row r="227" spans="1:42" ht="18" customHeight="1" x14ac:dyDescent="0.3">
      <c r="A227" s="7"/>
      <c r="H227" s="53"/>
      <c r="R227" s="53"/>
      <c r="T227" s="53"/>
      <c r="U227" s="53"/>
      <c r="V227" s="53"/>
      <c r="W227" s="53"/>
      <c r="X227" s="53"/>
      <c r="AP227" s="54"/>
    </row>
    <row r="228" spans="1:42" ht="18" customHeight="1" x14ac:dyDescent="0.3">
      <c r="A228" s="7"/>
      <c r="H228" s="53"/>
      <c r="R228" s="53"/>
      <c r="T228" s="53"/>
      <c r="U228" s="53"/>
      <c r="V228" s="53"/>
      <c r="W228" s="53"/>
      <c r="X228" s="53"/>
      <c r="AP228" s="54"/>
    </row>
    <row r="229" spans="1:42" ht="18" customHeight="1" x14ac:dyDescent="0.3">
      <c r="A229" s="7"/>
      <c r="H229" s="53"/>
      <c r="R229" s="53"/>
      <c r="T229" s="53"/>
      <c r="U229" s="53"/>
      <c r="V229" s="53"/>
      <c r="W229" s="53"/>
      <c r="X229" s="53"/>
      <c r="AP229" s="54"/>
    </row>
    <row r="230" spans="1:42" ht="18" customHeight="1" x14ac:dyDescent="0.3">
      <c r="A230" s="7"/>
      <c r="H230" s="53"/>
      <c r="R230" s="53"/>
      <c r="T230" s="53"/>
      <c r="U230" s="53"/>
      <c r="V230" s="53"/>
      <c r="W230" s="53"/>
      <c r="X230" s="53"/>
      <c r="AP230" s="54"/>
    </row>
    <row r="231" spans="1:42" ht="18" customHeight="1" x14ac:dyDescent="0.3">
      <c r="A231" s="7"/>
      <c r="H231" s="53"/>
      <c r="R231" s="53"/>
      <c r="T231" s="53"/>
      <c r="U231" s="53"/>
      <c r="V231" s="53"/>
      <c r="W231" s="53"/>
      <c r="X231" s="53"/>
      <c r="AP231" s="54"/>
    </row>
    <row r="232" spans="1:42" ht="18" customHeight="1" x14ac:dyDescent="0.3">
      <c r="A232" s="7"/>
      <c r="H232" s="53"/>
      <c r="R232" s="53"/>
      <c r="T232" s="53"/>
      <c r="U232" s="53"/>
      <c r="V232" s="53"/>
      <c r="W232" s="53"/>
      <c r="X232" s="53"/>
      <c r="AP232" s="54"/>
    </row>
    <row r="233" spans="1:42" ht="18" customHeight="1" x14ac:dyDescent="0.3">
      <c r="A233" s="7"/>
      <c r="H233" s="53"/>
      <c r="R233" s="53"/>
      <c r="T233" s="53"/>
      <c r="U233" s="53"/>
      <c r="V233" s="53"/>
      <c r="W233" s="53"/>
      <c r="X233" s="53"/>
      <c r="AP233" s="54"/>
    </row>
    <row r="234" spans="1:42" ht="18" customHeight="1" x14ac:dyDescent="0.3">
      <c r="A234" s="7"/>
      <c r="H234" s="53"/>
      <c r="R234" s="53"/>
      <c r="T234" s="53"/>
      <c r="U234" s="53"/>
      <c r="V234" s="53"/>
      <c r="W234" s="53"/>
      <c r="X234" s="53"/>
      <c r="AP234" s="54"/>
    </row>
    <row r="235" spans="1:42" ht="18" customHeight="1" x14ac:dyDescent="0.3">
      <c r="A235" s="7"/>
      <c r="H235" s="53"/>
      <c r="R235" s="53"/>
      <c r="T235" s="53"/>
      <c r="U235" s="53"/>
      <c r="V235" s="53"/>
      <c r="W235" s="53"/>
      <c r="X235" s="53"/>
      <c r="AP235" s="54"/>
    </row>
    <row r="236" spans="1:42" ht="18" customHeight="1" x14ac:dyDescent="0.3">
      <c r="A236" s="7"/>
      <c r="H236" s="53"/>
      <c r="R236" s="53"/>
      <c r="T236" s="53"/>
      <c r="U236" s="53"/>
      <c r="V236" s="53"/>
      <c r="W236" s="53"/>
      <c r="X236" s="53"/>
      <c r="AP236" s="54"/>
    </row>
    <row r="237" spans="1:42" ht="18" customHeight="1" x14ac:dyDescent="0.3">
      <c r="A237" s="7"/>
      <c r="H237" s="53"/>
      <c r="R237" s="53"/>
      <c r="T237" s="53"/>
      <c r="U237" s="53"/>
      <c r="V237" s="53"/>
      <c r="W237" s="53"/>
      <c r="X237" s="53"/>
      <c r="AP237" s="54"/>
    </row>
    <row r="238" spans="1:42" ht="18" customHeight="1" x14ac:dyDescent="0.3">
      <c r="A238" s="7"/>
      <c r="H238" s="53"/>
      <c r="R238" s="53"/>
      <c r="T238" s="53"/>
      <c r="U238" s="53"/>
      <c r="V238" s="53"/>
      <c r="W238" s="53"/>
      <c r="X238" s="53"/>
      <c r="AP238" s="54"/>
    </row>
    <row r="239" spans="1:42" ht="18" customHeight="1" x14ac:dyDescent="0.3">
      <c r="A239" s="7"/>
      <c r="H239" s="53"/>
      <c r="R239" s="53"/>
      <c r="T239" s="53"/>
      <c r="U239" s="53"/>
      <c r="V239" s="53"/>
      <c r="W239" s="53"/>
      <c r="X239" s="53"/>
      <c r="AP239" s="54"/>
    </row>
    <row r="240" spans="1:42" ht="18" customHeight="1" x14ac:dyDescent="0.3">
      <c r="A240" s="7"/>
      <c r="H240" s="53"/>
      <c r="R240" s="53"/>
      <c r="T240" s="53"/>
      <c r="U240" s="53"/>
      <c r="V240" s="53"/>
      <c r="W240" s="53"/>
      <c r="X240" s="53"/>
      <c r="AP240" s="54"/>
    </row>
    <row r="241" spans="1:42" ht="18" customHeight="1" x14ac:dyDescent="0.3">
      <c r="A241" s="7"/>
      <c r="H241" s="53"/>
      <c r="R241" s="53"/>
      <c r="T241" s="53"/>
      <c r="U241" s="53"/>
      <c r="V241" s="53"/>
      <c r="W241" s="53"/>
      <c r="X241" s="53"/>
      <c r="AP241" s="54"/>
    </row>
    <row r="242" spans="1:42" ht="18" customHeight="1" x14ac:dyDescent="0.3">
      <c r="A242" s="7"/>
      <c r="H242" s="53"/>
      <c r="R242" s="53"/>
      <c r="T242" s="53"/>
      <c r="U242" s="53"/>
      <c r="V242" s="53"/>
      <c r="W242" s="53"/>
      <c r="X242" s="53"/>
      <c r="AP242" s="54"/>
    </row>
    <row r="243" spans="1:42" ht="18" customHeight="1" x14ac:dyDescent="0.3">
      <c r="A243" s="7"/>
      <c r="H243" s="53"/>
      <c r="R243" s="53"/>
      <c r="T243" s="53"/>
      <c r="U243" s="53"/>
      <c r="V243" s="53"/>
      <c r="W243" s="53"/>
      <c r="X243" s="53"/>
      <c r="AP243" s="54"/>
    </row>
    <row r="244" spans="1:42" ht="18" customHeight="1" x14ac:dyDescent="0.3">
      <c r="A244" s="7"/>
      <c r="H244" s="53"/>
      <c r="R244" s="53"/>
      <c r="T244" s="53"/>
      <c r="U244" s="53"/>
      <c r="V244" s="53"/>
      <c r="W244" s="53"/>
      <c r="X244" s="53"/>
      <c r="AP244" s="54"/>
    </row>
    <row r="245" spans="1:42" ht="18" customHeight="1" x14ac:dyDescent="0.3">
      <c r="A245" s="7"/>
      <c r="H245" s="53"/>
      <c r="R245" s="53"/>
      <c r="T245" s="53"/>
      <c r="U245" s="53"/>
      <c r="V245" s="53"/>
      <c r="W245" s="53"/>
      <c r="X245" s="53"/>
      <c r="AP245" s="54"/>
    </row>
    <row r="246" spans="1:42" ht="18" customHeight="1" x14ac:dyDescent="0.3">
      <c r="A246" s="7"/>
      <c r="H246" s="53"/>
      <c r="R246" s="53"/>
      <c r="T246" s="53"/>
      <c r="U246" s="53"/>
      <c r="V246" s="53"/>
      <c r="W246" s="53"/>
      <c r="X246" s="53"/>
      <c r="AP246" s="54"/>
    </row>
    <row r="247" spans="1:42" ht="18" customHeight="1" x14ac:dyDescent="0.3">
      <c r="A247" s="7"/>
      <c r="H247" s="53"/>
      <c r="R247" s="53"/>
      <c r="T247" s="53"/>
      <c r="U247" s="53"/>
      <c r="V247" s="53"/>
      <c r="W247" s="53"/>
      <c r="X247" s="53"/>
      <c r="AP247" s="54"/>
    </row>
    <row r="248" spans="1:42" ht="18" customHeight="1" x14ac:dyDescent="0.3">
      <c r="A248" s="7"/>
      <c r="H248" s="53"/>
      <c r="R248" s="53"/>
      <c r="T248" s="53"/>
      <c r="U248" s="53"/>
      <c r="V248" s="53"/>
      <c r="W248" s="53"/>
      <c r="X248" s="53"/>
      <c r="AP248" s="54"/>
    </row>
    <row r="249" spans="1:42" ht="18" customHeight="1" x14ac:dyDescent="0.3">
      <c r="A249" s="7"/>
      <c r="H249" s="53"/>
      <c r="R249" s="53"/>
      <c r="T249" s="53"/>
      <c r="U249" s="53"/>
      <c r="V249" s="53"/>
      <c r="W249" s="53"/>
      <c r="X249" s="53"/>
      <c r="AP249" s="54"/>
    </row>
    <row r="250" spans="1:42" ht="18" customHeight="1" x14ac:dyDescent="0.3">
      <c r="A250" s="7"/>
      <c r="H250" s="53"/>
      <c r="R250" s="53"/>
      <c r="T250" s="53"/>
      <c r="U250" s="53"/>
      <c r="V250" s="53"/>
      <c r="W250" s="53"/>
      <c r="X250" s="53"/>
      <c r="AP250" s="54"/>
    </row>
    <row r="251" spans="1:42" ht="18" customHeight="1" x14ac:dyDescent="0.3">
      <c r="A251" s="7"/>
      <c r="H251" s="53"/>
      <c r="R251" s="53"/>
      <c r="T251" s="53"/>
      <c r="U251" s="53"/>
      <c r="V251" s="53"/>
      <c r="W251" s="53"/>
      <c r="X251" s="53"/>
      <c r="AP251" s="54"/>
    </row>
    <row r="252" spans="1:42" ht="18" customHeight="1" x14ac:dyDescent="0.3">
      <c r="A252" s="7"/>
      <c r="H252" s="53"/>
      <c r="R252" s="53"/>
      <c r="T252" s="53"/>
      <c r="U252" s="53"/>
      <c r="V252" s="53"/>
      <c r="W252" s="53"/>
      <c r="X252" s="53"/>
      <c r="AP252" s="54"/>
    </row>
    <row r="253" spans="1:42" ht="18" customHeight="1" x14ac:dyDescent="0.3">
      <c r="A253" s="7"/>
      <c r="H253" s="53"/>
      <c r="R253" s="53"/>
      <c r="T253" s="53"/>
      <c r="U253" s="53"/>
      <c r="V253" s="53"/>
      <c r="W253" s="53"/>
      <c r="X253" s="53"/>
      <c r="AP253" s="54"/>
    </row>
    <row r="254" spans="1:42" ht="18" customHeight="1" x14ac:dyDescent="0.3">
      <c r="A254" s="7"/>
      <c r="H254" s="53"/>
      <c r="R254" s="53"/>
      <c r="T254" s="53"/>
      <c r="U254" s="53"/>
      <c r="V254" s="53"/>
      <c r="W254" s="53"/>
      <c r="X254" s="53"/>
      <c r="AP254" s="54"/>
    </row>
    <row r="255" spans="1:42" ht="18" customHeight="1" x14ac:dyDescent="0.3">
      <c r="A255" s="7"/>
      <c r="H255" s="53"/>
      <c r="R255" s="53"/>
      <c r="T255" s="53"/>
      <c r="U255" s="53"/>
      <c r="V255" s="53"/>
      <c r="W255" s="53"/>
      <c r="X255" s="53"/>
      <c r="AP255" s="54"/>
    </row>
    <row r="256" spans="1:42" ht="18" customHeight="1" x14ac:dyDescent="0.3">
      <c r="A256" s="7"/>
      <c r="H256" s="53"/>
      <c r="R256" s="53"/>
      <c r="T256" s="53"/>
      <c r="U256" s="53"/>
      <c r="V256" s="53"/>
      <c r="W256" s="53"/>
      <c r="X256" s="53"/>
      <c r="AP256" s="54"/>
    </row>
    <row r="257" spans="1:42" ht="18" customHeight="1" x14ac:dyDescent="0.3">
      <c r="A257" s="7"/>
      <c r="H257" s="53"/>
      <c r="R257" s="53"/>
      <c r="T257" s="53"/>
      <c r="U257" s="53"/>
      <c r="V257" s="53"/>
      <c r="W257" s="53"/>
      <c r="X257" s="53"/>
      <c r="AP257" s="54"/>
    </row>
    <row r="258" spans="1:42" ht="18" customHeight="1" x14ac:dyDescent="0.3">
      <c r="A258" s="7"/>
      <c r="H258" s="53"/>
      <c r="R258" s="53"/>
      <c r="T258" s="53"/>
      <c r="U258" s="53"/>
      <c r="V258" s="53"/>
      <c r="W258" s="53"/>
      <c r="X258" s="53"/>
      <c r="AP258" s="54"/>
    </row>
    <row r="259" spans="1:42" ht="18" customHeight="1" x14ac:dyDescent="0.3">
      <c r="A259" s="7"/>
      <c r="H259" s="53"/>
      <c r="R259" s="53"/>
      <c r="T259" s="53"/>
      <c r="U259" s="53"/>
      <c r="V259" s="53"/>
      <c r="W259" s="53"/>
      <c r="X259" s="53"/>
      <c r="AP259" s="54"/>
    </row>
    <row r="260" spans="1:42" ht="18" customHeight="1" x14ac:dyDescent="0.3">
      <c r="A260" s="7"/>
      <c r="H260" s="53"/>
      <c r="R260" s="53"/>
      <c r="T260" s="53"/>
      <c r="U260" s="53"/>
      <c r="V260" s="53"/>
      <c r="W260" s="53"/>
      <c r="X260" s="53"/>
      <c r="AP260" s="54"/>
    </row>
    <row r="261" spans="1:42" ht="18" customHeight="1" x14ac:dyDescent="0.3">
      <c r="A261" s="7"/>
      <c r="H261" s="53"/>
      <c r="R261" s="53"/>
      <c r="T261" s="53"/>
      <c r="U261" s="53"/>
      <c r="V261" s="53"/>
      <c r="W261" s="53"/>
      <c r="X261" s="53"/>
      <c r="AP261" s="54"/>
    </row>
    <row r="262" spans="1:42" ht="18" customHeight="1" x14ac:dyDescent="0.3">
      <c r="A262" s="7"/>
      <c r="H262" s="53"/>
      <c r="R262" s="53"/>
      <c r="T262" s="53"/>
      <c r="U262" s="53"/>
      <c r="V262" s="53"/>
      <c r="W262" s="53"/>
      <c r="X262" s="53"/>
      <c r="AP262" s="54"/>
    </row>
    <row r="263" spans="1:42" ht="18" customHeight="1" x14ac:dyDescent="0.3">
      <c r="A263" s="7"/>
      <c r="H263" s="53"/>
      <c r="R263" s="53"/>
      <c r="T263" s="53"/>
      <c r="U263" s="53"/>
      <c r="V263" s="53"/>
      <c r="W263" s="53"/>
      <c r="X263" s="53"/>
      <c r="AP263" s="54"/>
    </row>
    <row r="264" spans="1:42" ht="18" customHeight="1" x14ac:dyDescent="0.3">
      <c r="A264" s="7"/>
      <c r="H264" s="53"/>
      <c r="R264" s="53"/>
      <c r="T264" s="53"/>
      <c r="U264" s="53"/>
      <c r="V264" s="53"/>
      <c r="W264" s="53"/>
      <c r="X264" s="53"/>
      <c r="AP264" s="54"/>
    </row>
    <row r="265" spans="1:42" ht="18" customHeight="1" x14ac:dyDescent="0.3">
      <c r="A265" s="7"/>
      <c r="H265" s="53"/>
      <c r="R265" s="53"/>
      <c r="T265" s="53"/>
      <c r="U265" s="53"/>
      <c r="V265" s="53"/>
      <c r="W265" s="53"/>
      <c r="X265" s="53"/>
      <c r="AP265" s="54"/>
    </row>
    <row r="266" spans="1:42" ht="18" customHeight="1" x14ac:dyDescent="0.3">
      <c r="A266" s="7"/>
      <c r="H266" s="53"/>
      <c r="R266" s="53"/>
      <c r="T266" s="53"/>
      <c r="U266" s="53"/>
      <c r="V266" s="53"/>
      <c r="W266" s="53"/>
      <c r="X266" s="53"/>
      <c r="AP266" s="54"/>
    </row>
    <row r="267" spans="1:42" ht="18" customHeight="1" x14ac:dyDescent="0.3">
      <c r="A267" s="7"/>
      <c r="H267" s="53"/>
      <c r="R267" s="53"/>
      <c r="T267" s="53"/>
      <c r="U267" s="53"/>
      <c r="V267" s="53"/>
      <c r="W267" s="53"/>
      <c r="X267" s="53"/>
      <c r="AP267" s="54"/>
    </row>
    <row r="268" spans="1:42" ht="18" customHeight="1" x14ac:dyDescent="0.3">
      <c r="A268" s="7"/>
      <c r="H268" s="53"/>
      <c r="R268" s="53"/>
      <c r="T268" s="53"/>
      <c r="U268" s="53"/>
      <c r="V268" s="53"/>
      <c r="W268" s="53"/>
      <c r="X268" s="53"/>
      <c r="AP268" s="54"/>
    </row>
    <row r="269" spans="1:42" ht="18" customHeight="1" x14ac:dyDescent="0.3">
      <c r="A269" s="7"/>
      <c r="H269" s="53"/>
      <c r="R269" s="53"/>
      <c r="T269" s="53"/>
      <c r="U269" s="53"/>
      <c r="V269" s="53"/>
      <c r="W269" s="53"/>
      <c r="X269" s="53"/>
      <c r="AP269" s="54"/>
    </row>
    <row r="270" spans="1:42" ht="18" customHeight="1" x14ac:dyDescent="0.3">
      <c r="A270" s="7"/>
      <c r="H270" s="53"/>
      <c r="R270" s="53"/>
      <c r="T270" s="53"/>
      <c r="U270" s="53"/>
      <c r="V270" s="53"/>
      <c r="W270" s="53"/>
      <c r="X270" s="53"/>
      <c r="AP270" s="54"/>
    </row>
    <row r="271" spans="1:42" ht="18" customHeight="1" x14ac:dyDescent="0.3">
      <c r="A271" s="7"/>
      <c r="H271" s="53"/>
      <c r="R271" s="53"/>
      <c r="T271" s="53"/>
      <c r="U271" s="53"/>
      <c r="V271" s="53"/>
      <c r="W271" s="53"/>
      <c r="X271" s="53"/>
      <c r="AP271" s="54"/>
    </row>
    <row r="272" spans="1:42" ht="18" customHeight="1" x14ac:dyDescent="0.3">
      <c r="A272" s="7"/>
      <c r="H272" s="53"/>
      <c r="R272" s="53"/>
      <c r="T272" s="53"/>
      <c r="U272" s="53"/>
      <c r="V272" s="53"/>
      <c r="W272" s="53"/>
      <c r="X272" s="53"/>
      <c r="AP272" s="54"/>
    </row>
    <row r="273" spans="1:42" ht="18" customHeight="1" x14ac:dyDescent="0.3">
      <c r="A273" s="7"/>
      <c r="H273" s="53"/>
      <c r="R273" s="53"/>
      <c r="T273" s="53"/>
      <c r="U273" s="53"/>
      <c r="V273" s="53"/>
      <c r="W273" s="53"/>
      <c r="X273" s="53"/>
      <c r="AP273" s="54"/>
    </row>
    <row r="274" spans="1:42" ht="18" customHeight="1" x14ac:dyDescent="0.3">
      <c r="A274" s="7"/>
      <c r="H274" s="53"/>
      <c r="R274" s="53"/>
      <c r="T274" s="53"/>
      <c r="U274" s="53"/>
      <c r="V274" s="53"/>
      <c r="W274" s="53"/>
      <c r="X274" s="53"/>
      <c r="AP274" s="54"/>
    </row>
    <row r="275" spans="1:42" ht="18" customHeight="1" x14ac:dyDescent="0.3">
      <c r="A275" s="7"/>
      <c r="H275" s="53"/>
      <c r="R275" s="53"/>
      <c r="T275" s="53"/>
      <c r="U275" s="53"/>
      <c r="V275" s="53"/>
      <c r="W275" s="53"/>
      <c r="X275" s="53"/>
      <c r="AP275" s="54"/>
    </row>
    <row r="276" spans="1:42" ht="18" customHeight="1" x14ac:dyDescent="0.3">
      <c r="A276" s="7"/>
      <c r="H276" s="53"/>
      <c r="R276" s="53"/>
      <c r="T276" s="53"/>
      <c r="U276" s="53"/>
      <c r="V276" s="53"/>
      <c r="W276" s="53"/>
      <c r="X276" s="53"/>
      <c r="AP276" s="54"/>
    </row>
    <row r="277" spans="1:42" ht="18" customHeight="1" x14ac:dyDescent="0.3">
      <c r="A277" s="7"/>
      <c r="H277" s="53"/>
      <c r="R277" s="53"/>
      <c r="T277" s="53"/>
      <c r="U277" s="53"/>
      <c r="V277" s="53"/>
      <c r="W277" s="53"/>
      <c r="X277" s="53"/>
      <c r="AP277" s="54"/>
    </row>
    <row r="278" spans="1:42" ht="18" customHeight="1" x14ac:dyDescent="0.3">
      <c r="A278" s="7"/>
      <c r="H278" s="53"/>
      <c r="R278" s="53"/>
      <c r="T278" s="53"/>
      <c r="U278" s="53"/>
      <c r="V278" s="53"/>
      <c r="W278" s="53"/>
      <c r="X278" s="53"/>
      <c r="AP278" s="54"/>
    </row>
    <row r="279" spans="1:42" ht="18" customHeight="1" x14ac:dyDescent="0.3">
      <c r="A279" s="7"/>
      <c r="H279" s="53"/>
      <c r="R279" s="53"/>
      <c r="T279" s="53"/>
      <c r="U279" s="53"/>
      <c r="V279" s="53"/>
      <c r="W279" s="53"/>
      <c r="X279" s="53"/>
      <c r="AP279" s="54"/>
    </row>
    <row r="280" spans="1:42" ht="18" customHeight="1" x14ac:dyDescent="0.3">
      <c r="A280" s="7"/>
      <c r="H280" s="53"/>
      <c r="R280" s="53"/>
      <c r="T280" s="53"/>
      <c r="U280" s="53"/>
      <c r="V280" s="53"/>
      <c r="W280" s="53"/>
      <c r="X280" s="53"/>
      <c r="AP280" s="54"/>
    </row>
    <row r="281" spans="1:42" ht="18" customHeight="1" x14ac:dyDescent="0.3">
      <c r="A281" s="7"/>
      <c r="H281" s="53"/>
      <c r="R281" s="53"/>
      <c r="T281" s="53"/>
      <c r="U281" s="53"/>
      <c r="V281" s="53"/>
      <c r="W281" s="53"/>
      <c r="X281" s="53"/>
      <c r="AP281" s="54"/>
    </row>
    <row r="282" spans="1:42" ht="18" customHeight="1" x14ac:dyDescent="0.3">
      <c r="A282" s="7"/>
      <c r="H282" s="53"/>
      <c r="R282" s="53"/>
      <c r="T282" s="53"/>
      <c r="U282" s="53"/>
      <c r="V282" s="53"/>
      <c r="W282" s="53"/>
      <c r="X282" s="53"/>
      <c r="AP282" s="54"/>
    </row>
    <row r="283" spans="1:42" ht="18" customHeight="1" x14ac:dyDescent="0.3">
      <c r="A283" s="7"/>
      <c r="H283" s="53"/>
      <c r="R283" s="53"/>
      <c r="T283" s="53"/>
      <c r="U283" s="53"/>
      <c r="V283" s="53"/>
      <c r="W283" s="53"/>
      <c r="X283" s="53"/>
      <c r="AP283" s="54"/>
    </row>
    <row r="284" spans="1:42" ht="18" customHeight="1" x14ac:dyDescent="0.3">
      <c r="A284" s="7"/>
      <c r="H284" s="53"/>
      <c r="R284" s="53"/>
      <c r="T284" s="53"/>
      <c r="U284" s="53"/>
      <c r="V284" s="53"/>
      <c r="W284" s="53"/>
      <c r="X284" s="53"/>
      <c r="AP284" s="54"/>
    </row>
    <row r="285" spans="1:42" ht="18" customHeight="1" x14ac:dyDescent="0.3">
      <c r="A285" s="7"/>
      <c r="H285" s="53"/>
      <c r="R285" s="53"/>
      <c r="T285" s="53"/>
      <c r="U285" s="53"/>
      <c r="V285" s="53"/>
      <c r="W285" s="53"/>
      <c r="X285" s="53"/>
      <c r="AP285" s="54"/>
    </row>
    <row r="286" spans="1:42" ht="18" customHeight="1" x14ac:dyDescent="0.3">
      <c r="A286" s="7"/>
      <c r="H286" s="53"/>
      <c r="R286" s="53"/>
      <c r="T286" s="53"/>
      <c r="U286" s="53"/>
      <c r="V286" s="53"/>
      <c r="W286" s="53"/>
      <c r="X286" s="53"/>
      <c r="AP286" s="54"/>
    </row>
    <row r="287" spans="1:42" ht="18" customHeight="1" x14ac:dyDescent="0.3">
      <c r="A287" s="7"/>
      <c r="H287" s="53"/>
      <c r="R287" s="53"/>
      <c r="T287" s="53"/>
      <c r="U287" s="53"/>
      <c r="V287" s="53"/>
      <c r="W287" s="53"/>
      <c r="X287" s="53"/>
      <c r="AP287" s="54"/>
    </row>
    <row r="288" spans="1:42" ht="18" customHeight="1" x14ac:dyDescent="0.3">
      <c r="A288" s="7"/>
      <c r="H288" s="53"/>
      <c r="R288" s="53"/>
      <c r="T288" s="53"/>
      <c r="U288" s="53"/>
      <c r="V288" s="53"/>
      <c r="W288" s="53"/>
      <c r="X288" s="53"/>
      <c r="AP288" s="54"/>
    </row>
    <row r="289" spans="1:42" ht="18" customHeight="1" x14ac:dyDescent="0.3">
      <c r="A289" s="7"/>
      <c r="H289" s="53"/>
      <c r="R289" s="53"/>
      <c r="T289" s="53"/>
      <c r="U289" s="53"/>
      <c r="V289" s="53"/>
      <c r="W289" s="53"/>
      <c r="X289" s="53"/>
      <c r="AP289" s="54"/>
    </row>
    <row r="290" spans="1:42" ht="18" customHeight="1" x14ac:dyDescent="0.3">
      <c r="A290" s="7"/>
      <c r="H290" s="53"/>
      <c r="R290" s="53"/>
      <c r="T290" s="53"/>
      <c r="U290" s="53"/>
      <c r="V290" s="53"/>
      <c r="W290" s="53"/>
      <c r="X290" s="53"/>
      <c r="AP290" s="54"/>
    </row>
    <row r="291" spans="1:42" ht="18" customHeight="1" x14ac:dyDescent="0.3">
      <c r="A291" s="7"/>
      <c r="H291" s="53"/>
      <c r="R291" s="53"/>
      <c r="T291" s="53"/>
      <c r="U291" s="53"/>
      <c r="V291" s="53"/>
      <c r="W291" s="53"/>
      <c r="X291" s="53"/>
      <c r="AP291" s="54"/>
    </row>
    <row r="292" spans="1:42" ht="18" customHeight="1" x14ac:dyDescent="0.3">
      <c r="A292" s="7"/>
      <c r="H292" s="53"/>
      <c r="R292" s="53"/>
      <c r="T292" s="53"/>
      <c r="U292" s="53"/>
      <c r="V292" s="53"/>
      <c r="W292" s="53"/>
      <c r="X292" s="53"/>
      <c r="AP292" s="54"/>
    </row>
    <row r="293" spans="1:42" ht="18" customHeight="1" x14ac:dyDescent="0.3">
      <c r="A293" s="7"/>
      <c r="H293" s="53"/>
      <c r="R293" s="53"/>
      <c r="T293" s="53"/>
      <c r="U293" s="53"/>
      <c r="V293" s="53"/>
      <c r="W293" s="53"/>
      <c r="X293" s="53"/>
      <c r="AP293" s="54"/>
    </row>
    <row r="294" spans="1:42" ht="18" customHeight="1" x14ac:dyDescent="0.3">
      <c r="A294" s="7"/>
      <c r="H294" s="53"/>
      <c r="R294" s="53"/>
      <c r="T294" s="53"/>
      <c r="U294" s="53"/>
      <c r="V294" s="53"/>
      <c r="W294" s="53"/>
      <c r="X294" s="53"/>
      <c r="AP294" s="54"/>
    </row>
    <row r="295" spans="1:42" ht="18" customHeight="1" x14ac:dyDescent="0.3">
      <c r="A295" s="7"/>
      <c r="H295" s="53"/>
      <c r="R295" s="53"/>
      <c r="T295" s="53"/>
      <c r="U295" s="53"/>
      <c r="V295" s="53"/>
      <c r="W295" s="53"/>
      <c r="X295" s="53"/>
      <c r="AP295" s="54"/>
    </row>
    <row r="296" spans="1:42" ht="18" customHeight="1" x14ac:dyDescent="0.3">
      <c r="A296" s="7"/>
      <c r="H296" s="53"/>
      <c r="R296" s="53"/>
      <c r="T296" s="53"/>
      <c r="U296" s="53"/>
      <c r="V296" s="53"/>
      <c r="W296" s="53"/>
      <c r="X296" s="53"/>
      <c r="AP296" s="54"/>
    </row>
    <row r="297" spans="1:42" ht="18" customHeight="1" x14ac:dyDescent="0.3">
      <c r="A297" s="7"/>
      <c r="H297" s="53"/>
      <c r="R297" s="53"/>
      <c r="T297" s="53"/>
      <c r="U297" s="53"/>
      <c r="V297" s="53"/>
      <c r="W297" s="53"/>
      <c r="X297" s="53"/>
      <c r="AP297" s="54"/>
    </row>
    <row r="298" spans="1:42" ht="18" customHeight="1" x14ac:dyDescent="0.3">
      <c r="A298" s="7"/>
      <c r="H298" s="53"/>
      <c r="R298" s="53"/>
      <c r="T298" s="53"/>
      <c r="U298" s="53"/>
      <c r="V298" s="53"/>
      <c r="W298" s="53"/>
      <c r="X298" s="53"/>
      <c r="AP298" s="54"/>
    </row>
    <row r="299" spans="1:42" ht="18" customHeight="1" x14ac:dyDescent="0.3">
      <c r="A299" s="7"/>
      <c r="H299" s="53"/>
      <c r="R299" s="53"/>
      <c r="T299" s="53"/>
      <c r="U299" s="53"/>
      <c r="V299" s="53"/>
      <c r="W299" s="53"/>
      <c r="X299" s="53"/>
      <c r="AP299" s="54"/>
    </row>
    <row r="300" spans="1:42" ht="18" customHeight="1" x14ac:dyDescent="0.3">
      <c r="A300" s="7"/>
      <c r="H300" s="53"/>
      <c r="R300" s="53"/>
      <c r="T300" s="53"/>
      <c r="U300" s="53"/>
      <c r="V300" s="53"/>
      <c r="W300" s="53"/>
      <c r="X300" s="53"/>
      <c r="AP300" s="54"/>
    </row>
    <row r="301" spans="1:42" ht="18" customHeight="1" x14ac:dyDescent="0.3">
      <c r="A301" s="7"/>
      <c r="H301" s="53"/>
      <c r="R301" s="53"/>
      <c r="T301" s="53"/>
      <c r="U301" s="53"/>
      <c r="V301" s="53"/>
      <c r="W301" s="53"/>
      <c r="X301" s="53"/>
      <c r="AP301" s="54"/>
    </row>
    <row r="302" spans="1:42" ht="18" customHeight="1" x14ac:dyDescent="0.3">
      <c r="A302" s="7"/>
      <c r="H302" s="53"/>
      <c r="R302" s="53"/>
      <c r="T302" s="53"/>
      <c r="U302" s="53"/>
      <c r="V302" s="53"/>
      <c r="W302" s="53"/>
      <c r="X302" s="53"/>
      <c r="AP302" s="54"/>
    </row>
    <row r="303" spans="1:42" ht="18" customHeight="1" x14ac:dyDescent="0.3">
      <c r="A303" s="7"/>
      <c r="H303" s="53"/>
      <c r="R303" s="53"/>
      <c r="T303" s="53"/>
      <c r="U303" s="53"/>
      <c r="V303" s="53"/>
      <c r="W303" s="53"/>
      <c r="X303" s="53"/>
      <c r="AP303" s="54"/>
    </row>
    <row r="304" spans="1:42" ht="18" customHeight="1" x14ac:dyDescent="0.3">
      <c r="A304" s="7"/>
      <c r="H304" s="53"/>
      <c r="R304" s="53"/>
      <c r="T304" s="53"/>
      <c r="U304" s="53"/>
      <c r="V304" s="53"/>
      <c r="W304" s="53"/>
      <c r="X304" s="53"/>
      <c r="AP304" s="54"/>
    </row>
    <row r="305" spans="1:42" ht="18" customHeight="1" x14ac:dyDescent="0.3">
      <c r="A305" s="7"/>
      <c r="H305" s="53"/>
      <c r="R305" s="53"/>
      <c r="T305" s="53"/>
      <c r="U305" s="53"/>
      <c r="V305" s="53"/>
      <c r="W305" s="53"/>
      <c r="X305" s="53"/>
      <c r="AP305" s="54"/>
    </row>
    <row r="306" spans="1:42" ht="18" customHeight="1" x14ac:dyDescent="0.3">
      <c r="A306" s="7"/>
      <c r="H306" s="53"/>
      <c r="R306" s="53"/>
      <c r="T306" s="53"/>
      <c r="U306" s="53"/>
      <c r="V306" s="53"/>
      <c r="W306" s="53"/>
      <c r="X306" s="53"/>
      <c r="AP306" s="54"/>
    </row>
    <row r="307" spans="1:42" ht="18" customHeight="1" x14ac:dyDescent="0.3">
      <c r="A307" s="7"/>
      <c r="H307" s="53"/>
      <c r="R307" s="53"/>
      <c r="T307" s="53"/>
      <c r="U307" s="53"/>
      <c r="V307" s="53"/>
      <c r="W307" s="53"/>
      <c r="X307" s="53"/>
      <c r="AP307" s="54"/>
    </row>
    <row r="308" spans="1:42" ht="18" customHeight="1" x14ac:dyDescent="0.3">
      <c r="A308" s="7"/>
      <c r="H308" s="53"/>
      <c r="R308" s="53"/>
      <c r="T308" s="53"/>
      <c r="U308" s="53"/>
      <c r="V308" s="53"/>
      <c r="W308" s="53"/>
      <c r="X308" s="53"/>
      <c r="AP308" s="54"/>
    </row>
    <row r="309" spans="1:42" ht="18" customHeight="1" x14ac:dyDescent="0.3">
      <c r="A309" s="7"/>
      <c r="H309" s="53"/>
      <c r="R309" s="53"/>
      <c r="T309" s="53"/>
      <c r="U309" s="53"/>
      <c r="V309" s="53"/>
      <c r="W309" s="53"/>
      <c r="X309" s="53"/>
      <c r="AP309" s="54"/>
    </row>
    <row r="310" spans="1:42" ht="18" customHeight="1" x14ac:dyDescent="0.3">
      <c r="A310" s="7"/>
      <c r="H310" s="53"/>
      <c r="R310" s="53"/>
      <c r="T310" s="53"/>
      <c r="U310" s="53"/>
      <c r="V310" s="53"/>
      <c r="W310" s="53"/>
      <c r="X310" s="53"/>
      <c r="AP310" s="54"/>
    </row>
    <row r="311" spans="1:42" ht="18" customHeight="1" x14ac:dyDescent="0.3">
      <c r="A311" s="7"/>
      <c r="H311" s="53"/>
      <c r="R311" s="53"/>
      <c r="T311" s="53"/>
      <c r="U311" s="53"/>
      <c r="V311" s="53"/>
      <c r="W311" s="53"/>
      <c r="X311" s="53"/>
      <c r="AP311" s="54"/>
    </row>
    <row r="312" spans="1:42" ht="18" customHeight="1" x14ac:dyDescent="0.3">
      <c r="A312" s="7"/>
      <c r="H312" s="53"/>
      <c r="R312" s="53"/>
      <c r="T312" s="53"/>
      <c r="U312" s="53"/>
      <c r="V312" s="53"/>
      <c r="W312" s="53"/>
      <c r="X312" s="53"/>
      <c r="AP312" s="54"/>
    </row>
    <row r="313" spans="1:42" ht="18" customHeight="1" x14ac:dyDescent="0.3">
      <c r="A313" s="7"/>
      <c r="H313" s="53"/>
      <c r="R313" s="53"/>
      <c r="T313" s="53"/>
      <c r="U313" s="53"/>
      <c r="V313" s="53"/>
      <c r="W313" s="53"/>
      <c r="X313" s="53"/>
      <c r="AP313" s="54"/>
    </row>
    <row r="314" spans="1:42" ht="18" customHeight="1" x14ac:dyDescent="0.3">
      <c r="A314" s="7"/>
      <c r="H314" s="53"/>
      <c r="R314" s="53"/>
      <c r="T314" s="53"/>
      <c r="U314" s="53"/>
      <c r="V314" s="53"/>
      <c r="W314" s="53"/>
      <c r="X314" s="53"/>
      <c r="AP314" s="54"/>
    </row>
    <row r="315" spans="1:42" ht="18" customHeight="1" x14ac:dyDescent="0.3">
      <c r="A315" s="7"/>
      <c r="H315" s="53"/>
      <c r="R315" s="53"/>
      <c r="T315" s="53"/>
      <c r="U315" s="53"/>
      <c r="V315" s="53"/>
      <c r="W315" s="53"/>
      <c r="X315" s="53"/>
      <c r="AP315" s="54"/>
    </row>
    <row r="316" spans="1:42" ht="18" customHeight="1" x14ac:dyDescent="0.3">
      <c r="A316" s="7"/>
      <c r="H316" s="53"/>
      <c r="R316" s="53"/>
      <c r="T316" s="53"/>
      <c r="U316" s="53"/>
      <c r="V316" s="53"/>
      <c r="W316" s="53"/>
      <c r="X316" s="53"/>
      <c r="AP316" s="54"/>
    </row>
    <row r="317" spans="1:42" ht="18" customHeight="1" x14ac:dyDescent="0.3">
      <c r="A317" s="7"/>
      <c r="H317" s="53"/>
      <c r="R317" s="53"/>
      <c r="T317" s="53"/>
      <c r="U317" s="53"/>
      <c r="V317" s="53"/>
      <c r="W317" s="53"/>
      <c r="X317" s="53"/>
      <c r="AP317" s="54"/>
    </row>
    <row r="318" spans="1:42" ht="18" customHeight="1" x14ac:dyDescent="0.3">
      <c r="A318" s="7"/>
      <c r="H318" s="53"/>
      <c r="R318" s="53"/>
      <c r="T318" s="53"/>
      <c r="U318" s="53"/>
      <c r="V318" s="53"/>
      <c r="W318" s="53"/>
      <c r="X318" s="53"/>
      <c r="AP318" s="54"/>
    </row>
    <row r="319" spans="1:42" ht="18" customHeight="1" x14ac:dyDescent="0.3">
      <c r="A319" s="7"/>
      <c r="H319" s="53"/>
      <c r="R319" s="53"/>
      <c r="T319" s="53"/>
      <c r="U319" s="53"/>
      <c r="V319" s="53"/>
      <c r="W319" s="53"/>
      <c r="X319" s="53"/>
      <c r="AP319" s="54"/>
    </row>
    <row r="320" spans="1:42" ht="18" customHeight="1" x14ac:dyDescent="0.3">
      <c r="A320" s="7"/>
      <c r="H320" s="53"/>
      <c r="R320" s="53"/>
      <c r="T320" s="53"/>
      <c r="U320" s="53"/>
      <c r="V320" s="53"/>
      <c r="W320" s="53"/>
      <c r="X320" s="53"/>
      <c r="AP320" s="54"/>
    </row>
    <row r="321" spans="1:42" ht="18" customHeight="1" x14ac:dyDescent="0.3">
      <c r="A321" s="7"/>
      <c r="H321" s="53"/>
      <c r="R321" s="53"/>
      <c r="T321" s="53"/>
      <c r="U321" s="53"/>
      <c r="V321" s="53"/>
      <c r="W321" s="53"/>
      <c r="X321" s="53"/>
      <c r="AP321" s="54"/>
    </row>
    <row r="322" spans="1:42" ht="18" customHeight="1" x14ac:dyDescent="0.3">
      <c r="A322" s="7"/>
      <c r="H322" s="53"/>
      <c r="R322" s="53"/>
      <c r="T322" s="53"/>
      <c r="U322" s="53"/>
      <c r="V322" s="53"/>
      <c r="W322" s="53"/>
      <c r="X322" s="53"/>
      <c r="AP322" s="54"/>
    </row>
    <row r="323" spans="1:42" ht="18" customHeight="1" x14ac:dyDescent="0.3">
      <c r="A323" s="7"/>
      <c r="H323" s="53"/>
      <c r="R323" s="53"/>
      <c r="T323" s="53"/>
      <c r="U323" s="53"/>
      <c r="V323" s="53"/>
      <c r="W323" s="53"/>
      <c r="X323" s="53"/>
      <c r="AP323" s="54"/>
    </row>
    <row r="324" spans="1:42" ht="18" customHeight="1" x14ac:dyDescent="0.3">
      <c r="A324" s="7"/>
      <c r="H324" s="53"/>
      <c r="R324" s="53"/>
      <c r="T324" s="53"/>
      <c r="U324" s="53"/>
      <c r="V324" s="53"/>
      <c r="W324" s="53"/>
      <c r="X324" s="53"/>
      <c r="AP324" s="54"/>
    </row>
    <row r="325" spans="1:42" ht="18" customHeight="1" x14ac:dyDescent="0.3">
      <c r="A325" s="7"/>
      <c r="H325" s="53"/>
      <c r="R325" s="53"/>
      <c r="T325" s="53"/>
      <c r="U325" s="53"/>
      <c r="V325" s="53"/>
      <c r="W325" s="53"/>
      <c r="X325" s="53"/>
      <c r="AP325" s="54"/>
    </row>
    <row r="326" spans="1:42" ht="18" customHeight="1" x14ac:dyDescent="0.3">
      <c r="A326" s="7"/>
      <c r="H326" s="53"/>
      <c r="R326" s="53"/>
      <c r="T326" s="53"/>
      <c r="U326" s="53"/>
      <c r="V326" s="53"/>
      <c r="W326" s="53"/>
      <c r="X326" s="53"/>
      <c r="AP326" s="54"/>
    </row>
    <row r="327" spans="1:42" ht="18" customHeight="1" x14ac:dyDescent="0.3">
      <c r="A327" s="7"/>
      <c r="H327" s="53"/>
      <c r="R327" s="53"/>
      <c r="T327" s="53"/>
      <c r="U327" s="53"/>
      <c r="V327" s="53"/>
      <c r="W327" s="53"/>
      <c r="X327" s="53"/>
      <c r="AP327" s="54"/>
    </row>
    <row r="328" spans="1:42" ht="18" customHeight="1" x14ac:dyDescent="0.3">
      <c r="A328" s="7"/>
      <c r="H328" s="53"/>
      <c r="R328" s="53"/>
      <c r="T328" s="53"/>
      <c r="U328" s="53"/>
      <c r="V328" s="53"/>
      <c r="W328" s="53"/>
      <c r="X328" s="53"/>
      <c r="AP328" s="54"/>
    </row>
    <row r="329" spans="1:42" ht="18" customHeight="1" x14ac:dyDescent="0.3">
      <c r="A329" s="7"/>
      <c r="H329" s="53"/>
      <c r="R329" s="53"/>
      <c r="T329" s="53"/>
      <c r="U329" s="53"/>
      <c r="V329" s="53"/>
      <c r="W329" s="53"/>
      <c r="X329" s="53"/>
      <c r="AP329" s="54"/>
    </row>
    <row r="330" spans="1:42" ht="18" customHeight="1" x14ac:dyDescent="0.3">
      <c r="A330" s="7"/>
      <c r="H330" s="53"/>
      <c r="R330" s="53"/>
      <c r="T330" s="53"/>
      <c r="U330" s="53"/>
      <c r="V330" s="53"/>
      <c r="W330" s="53"/>
      <c r="X330" s="53"/>
      <c r="AP330" s="54"/>
    </row>
    <row r="331" spans="1:42" ht="18" customHeight="1" x14ac:dyDescent="0.3">
      <c r="A331" s="7"/>
      <c r="H331" s="53"/>
      <c r="R331" s="53"/>
      <c r="T331" s="53"/>
      <c r="U331" s="53"/>
      <c r="V331" s="53"/>
      <c r="W331" s="53"/>
      <c r="X331" s="53"/>
      <c r="AP331" s="54"/>
    </row>
    <row r="332" spans="1:42" ht="18" customHeight="1" x14ac:dyDescent="0.3">
      <c r="A332" s="7"/>
      <c r="H332" s="53"/>
      <c r="R332" s="53"/>
      <c r="T332" s="53"/>
      <c r="U332" s="53"/>
      <c r="V332" s="53"/>
      <c r="W332" s="53"/>
      <c r="X332" s="53"/>
      <c r="AP332" s="54"/>
    </row>
    <row r="333" spans="1:42" ht="18" customHeight="1" x14ac:dyDescent="0.3">
      <c r="A333" s="7"/>
      <c r="H333" s="53"/>
      <c r="R333" s="53"/>
      <c r="T333" s="53"/>
      <c r="U333" s="53"/>
      <c r="V333" s="53"/>
      <c r="W333" s="53"/>
      <c r="X333" s="53"/>
      <c r="AP333" s="54"/>
    </row>
    <row r="334" spans="1:42" ht="18" customHeight="1" x14ac:dyDescent="0.3">
      <c r="A334" s="7"/>
      <c r="H334" s="53"/>
      <c r="R334" s="53"/>
      <c r="T334" s="53"/>
      <c r="U334" s="53"/>
      <c r="V334" s="53"/>
      <c r="W334" s="53"/>
      <c r="X334" s="53"/>
      <c r="AP334" s="54"/>
    </row>
    <row r="335" spans="1:42" ht="18" customHeight="1" x14ac:dyDescent="0.3">
      <c r="A335" s="7"/>
      <c r="H335" s="53"/>
      <c r="R335" s="53"/>
      <c r="T335" s="53"/>
      <c r="U335" s="53"/>
      <c r="V335" s="53"/>
      <c r="W335" s="53"/>
      <c r="X335" s="53"/>
      <c r="AP335" s="54"/>
    </row>
    <row r="336" spans="1:42" ht="18" customHeight="1" x14ac:dyDescent="0.3">
      <c r="A336" s="7"/>
      <c r="H336" s="53"/>
      <c r="R336" s="53"/>
      <c r="T336" s="53"/>
      <c r="U336" s="53"/>
      <c r="V336" s="53"/>
      <c r="W336" s="53"/>
      <c r="X336" s="53"/>
      <c r="AP336" s="54"/>
    </row>
    <row r="337" spans="1:42" ht="18" customHeight="1" x14ac:dyDescent="0.3">
      <c r="A337" s="7"/>
      <c r="H337" s="53"/>
      <c r="R337" s="53"/>
      <c r="T337" s="53"/>
      <c r="U337" s="53"/>
      <c r="V337" s="53"/>
      <c r="W337" s="53"/>
      <c r="X337" s="53"/>
      <c r="AP337" s="54"/>
    </row>
    <row r="338" spans="1:42" ht="18" customHeight="1" x14ac:dyDescent="0.3">
      <c r="A338" s="7"/>
      <c r="H338" s="53"/>
      <c r="R338" s="53"/>
      <c r="T338" s="53"/>
      <c r="U338" s="53"/>
      <c r="V338" s="53"/>
      <c r="W338" s="53"/>
      <c r="X338" s="53"/>
      <c r="AP338" s="54"/>
    </row>
    <row r="339" spans="1:42" ht="18" customHeight="1" x14ac:dyDescent="0.3">
      <c r="A339" s="7"/>
      <c r="H339" s="53"/>
      <c r="R339" s="53"/>
      <c r="T339" s="53"/>
      <c r="U339" s="53"/>
      <c r="V339" s="53"/>
      <c r="W339" s="53"/>
      <c r="X339" s="53"/>
      <c r="AP339" s="54"/>
    </row>
    <row r="340" spans="1:42" ht="18" customHeight="1" x14ac:dyDescent="0.3">
      <c r="A340" s="7"/>
      <c r="H340" s="53"/>
      <c r="R340" s="53"/>
      <c r="T340" s="53"/>
      <c r="U340" s="53"/>
      <c r="V340" s="53"/>
      <c r="W340" s="53"/>
      <c r="X340" s="53"/>
      <c r="AP340" s="54"/>
    </row>
    <row r="341" spans="1:42" ht="18" customHeight="1" x14ac:dyDescent="0.3">
      <c r="A341" s="7"/>
      <c r="H341" s="53"/>
      <c r="R341" s="53"/>
      <c r="T341" s="53"/>
      <c r="U341" s="53"/>
      <c r="V341" s="53"/>
      <c r="W341" s="53"/>
      <c r="X341" s="53"/>
      <c r="AP341" s="54"/>
    </row>
    <row r="342" spans="1:42" ht="18" customHeight="1" x14ac:dyDescent="0.3">
      <c r="A342" s="7"/>
      <c r="H342" s="53"/>
      <c r="R342" s="53"/>
      <c r="T342" s="53"/>
      <c r="U342" s="53"/>
      <c r="V342" s="53"/>
      <c r="W342" s="53"/>
      <c r="X342" s="53"/>
      <c r="AP342" s="54"/>
    </row>
    <row r="343" spans="1:42" ht="18" customHeight="1" x14ac:dyDescent="0.3">
      <c r="A343" s="7"/>
      <c r="H343" s="53"/>
      <c r="R343" s="53"/>
      <c r="T343" s="53"/>
      <c r="U343" s="53"/>
      <c r="V343" s="53"/>
      <c r="W343" s="53"/>
      <c r="X343" s="53"/>
      <c r="AP343" s="54"/>
    </row>
    <row r="344" spans="1:42" ht="18" customHeight="1" x14ac:dyDescent="0.3">
      <c r="A344" s="7"/>
      <c r="H344" s="53"/>
      <c r="R344" s="53"/>
      <c r="T344" s="53"/>
      <c r="U344" s="53"/>
      <c r="V344" s="53"/>
      <c r="W344" s="53"/>
      <c r="X344" s="53"/>
      <c r="AP344" s="54"/>
    </row>
    <row r="345" spans="1:42" ht="18" customHeight="1" x14ac:dyDescent="0.3">
      <c r="A345" s="7"/>
      <c r="H345" s="53"/>
      <c r="R345" s="53"/>
      <c r="T345" s="53"/>
      <c r="U345" s="53"/>
      <c r="V345" s="53"/>
      <c r="W345" s="53"/>
      <c r="X345" s="53"/>
      <c r="AP345" s="54"/>
    </row>
    <row r="346" spans="1:42" ht="18" customHeight="1" x14ac:dyDescent="0.3">
      <c r="A346" s="7"/>
      <c r="H346" s="53"/>
      <c r="R346" s="53"/>
      <c r="T346" s="53"/>
      <c r="U346" s="53"/>
      <c r="V346" s="53"/>
      <c r="W346" s="53"/>
      <c r="X346" s="53"/>
      <c r="AP346" s="54"/>
    </row>
    <row r="347" spans="1:42" ht="18" customHeight="1" x14ac:dyDescent="0.3">
      <c r="A347" s="7"/>
      <c r="H347" s="53"/>
      <c r="R347" s="53"/>
      <c r="T347" s="53"/>
      <c r="U347" s="53"/>
      <c r="V347" s="53"/>
      <c r="W347" s="53"/>
      <c r="X347" s="53"/>
      <c r="AP347" s="54"/>
    </row>
    <row r="348" spans="1:42" ht="18" customHeight="1" x14ac:dyDescent="0.3">
      <c r="A348" s="7"/>
      <c r="H348" s="53"/>
      <c r="R348" s="53"/>
      <c r="T348" s="53"/>
      <c r="U348" s="53"/>
      <c r="V348" s="53"/>
      <c r="W348" s="53"/>
      <c r="X348" s="53"/>
      <c r="AP348" s="54"/>
    </row>
    <row r="349" spans="1:42" ht="18" customHeight="1" x14ac:dyDescent="0.3">
      <c r="A349" s="7"/>
      <c r="H349" s="53"/>
      <c r="R349" s="53"/>
      <c r="T349" s="53"/>
      <c r="U349" s="53"/>
      <c r="V349" s="53"/>
      <c r="W349" s="53"/>
      <c r="X349" s="53"/>
      <c r="AP349" s="54"/>
    </row>
    <row r="350" spans="1:42" ht="18" customHeight="1" x14ac:dyDescent="0.3">
      <c r="A350" s="7"/>
      <c r="H350" s="53"/>
      <c r="R350" s="53"/>
      <c r="T350" s="53"/>
      <c r="U350" s="53"/>
      <c r="V350" s="53"/>
      <c r="W350" s="53"/>
      <c r="X350" s="53"/>
      <c r="AP350" s="54"/>
    </row>
    <row r="351" spans="1:42" ht="18" customHeight="1" x14ac:dyDescent="0.3">
      <c r="A351" s="7"/>
      <c r="H351" s="53"/>
      <c r="R351" s="53"/>
      <c r="T351" s="53"/>
      <c r="U351" s="53"/>
      <c r="V351" s="53"/>
      <c r="W351" s="53"/>
      <c r="X351" s="53"/>
      <c r="AP351" s="54"/>
    </row>
    <row r="352" spans="1:42" ht="18" customHeight="1" x14ac:dyDescent="0.3">
      <c r="A352" s="7"/>
      <c r="H352" s="53"/>
      <c r="R352" s="53"/>
      <c r="T352" s="53"/>
      <c r="U352" s="53"/>
      <c r="V352" s="53"/>
      <c r="W352" s="53"/>
      <c r="X352" s="53"/>
      <c r="AP352" s="54"/>
    </row>
    <row r="353" spans="1:42" ht="18" customHeight="1" x14ac:dyDescent="0.3">
      <c r="A353" s="7"/>
      <c r="H353" s="53"/>
      <c r="R353" s="53"/>
      <c r="T353" s="53"/>
      <c r="U353" s="53"/>
      <c r="V353" s="53"/>
      <c r="W353" s="53"/>
      <c r="X353" s="53"/>
      <c r="AP353" s="54"/>
    </row>
    <row r="354" spans="1:42" ht="18" customHeight="1" x14ac:dyDescent="0.3">
      <c r="A354" s="7"/>
      <c r="H354" s="53"/>
      <c r="R354" s="53"/>
      <c r="T354" s="53"/>
      <c r="U354" s="53"/>
      <c r="V354" s="53"/>
      <c r="W354" s="53"/>
      <c r="X354" s="53"/>
      <c r="AP354" s="54"/>
    </row>
    <row r="355" spans="1:42" ht="18" customHeight="1" x14ac:dyDescent="0.3">
      <c r="A355" s="7"/>
      <c r="H355" s="53"/>
      <c r="R355" s="53"/>
      <c r="T355" s="53"/>
      <c r="U355" s="53"/>
      <c r="V355" s="53"/>
      <c r="W355" s="53"/>
      <c r="X355" s="53"/>
      <c r="AP355" s="54"/>
    </row>
    <row r="356" spans="1:42" ht="18" customHeight="1" x14ac:dyDescent="0.3">
      <c r="A356" s="7"/>
      <c r="H356" s="53"/>
      <c r="R356" s="53"/>
      <c r="T356" s="53"/>
      <c r="U356" s="53"/>
      <c r="V356" s="53"/>
      <c r="W356" s="53"/>
      <c r="X356" s="53"/>
      <c r="AP356" s="54"/>
    </row>
    <row r="357" spans="1:42" ht="18" customHeight="1" x14ac:dyDescent="0.3">
      <c r="A357" s="7"/>
      <c r="H357" s="53"/>
      <c r="R357" s="53"/>
      <c r="T357" s="53"/>
      <c r="U357" s="53"/>
      <c r="V357" s="53"/>
      <c r="W357" s="53"/>
      <c r="X357" s="53"/>
      <c r="AP357" s="54"/>
    </row>
    <row r="358" spans="1:42" ht="18" customHeight="1" x14ac:dyDescent="0.3">
      <c r="A358" s="7"/>
      <c r="H358" s="53"/>
      <c r="R358" s="53"/>
      <c r="T358" s="53"/>
      <c r="U358" s="53"/>
      <c r="V358" s="53"/>
      <c r="W358" s="53"/>
      <c r="X358" s="53"/>
      <c r="AP358" s="54"/>
    </row>
    <row r="359" spans="1:42" ht="18" customHeight="1" x14ac:dyDescent="0.3">
      <c r="A359" s="7"/>
      <c r="H359" s="53"/>
      <c r="R359" s="53"/>
      <c r="T359" s="53"/>
      <c r="U359" s="53"/>
      <c r="V359" s="53"/>
      <c r="W359" s="53"/>
      <c r="X359" s="53"/>
      <c r="AP359" s="54"/>
    </row>
    <row r="360" spans="1:42" ht="18" customHeight="1" x14ac:dyDescent="0.3">
      <c r="A360" s="7"/>
      <c r="H360" s="53"/>
      <c r="R360" s="53"/>
      <c r="T360" s="53"/>
      <c r="U360" s="53"/>
      <c r="V360" s="53"/>
      <c r="W360" s="53"/>
      <c r="X360" s="53"/>
      <c r="AP360" s="54"/>
    </row>
    <row r="361" spans="1:42" ht="18" customHeight="1" x14ac:dyDescent="0.3">
      <c r="A361" s="7"/>
      <c r="H361" s="53"/>
      <c r="R361" s="53"/>
      <c r="T361" s="53"/>
      <c r="U361" s="53"/>
      <c r="V361" s="53"/>
      <c r="W361" s="53"/>
      <c r="X361" s="53"/>
      <c r="AP361" s="54"/>
    </row>
    <row r="362" spans="1:42" ht="18" customHeight="1" x14ac:dyDescent="0.3">
      <c r="A362" s="7"/>
      <c r="H362" s="53"/>
      <c r="R362" s="53"/>
      <c r="T362" s="53"/>
      <c r="U362" s="53"/>
      <c r="V362" s="53"/>
      <c r="W362" s="53"/>
      <c r="X362" s="53"/>
      <c r="AP362" s="54"/>
    </row>
    <row r="363" spans="1:42" ht="18" customHeight="1" x14ac:dyDescent="0.3">
      <c r="A363" s="7"/>
      <c r="H363" s="53"/>
      <c r="R363" s="53"/>
      <c r="T363" s="53"/>
      <c r="U363" s="53"/>
      <c r="V363" s="53"/>
      <c r="W363" s="53"/>
      <c r="X363" s="53"/>
      <c r="AP363" s="54"/>
    </row>
    <row r="364" spans="1:42" ht="18" customHeight="1" x14ac:dyDescent="0.3">
      <c r="A364" s="7"/>
      <c r="H364" s="53"/>
      <c r="R364" s="53"/>
      <c r="T364" s="53"/>
      <c r="U364" s="53"/>
      <c r="V364" s="53"/>
      <c r="W364" s="53"/>
      <c r="X364" s="53"/>
      <c r="AP364" s="54"/>
    </row>
    <row r="365" spans="1:42" ht="18" customHeight="1" x14ac:dyDescent="0.3">
      <c r="A365" s="7"/>
      <c r="H365" s="53"/>
      <c r="R365" s="53"/>
      <c r="T365" s="53"/>
      <c r="U365" s="53"/>
      <c r="V365" s="53"/>
      <c r="W365" s="53"/>
      <c r="X365" s="53"/>
      <c r="AP365" s="54"/>
    </row>
    <row r="366" spans="1:42" ht="18" customHeight="1" x14ac:dyDescent="0.3">
      <c r="A366" s="7"/>
      <c r="H366" s="53"/>
      <c r="R366" s="53"/>
      <c r="T366" s="53"/>
      <c r="U366" s="53"/>
      <c r="V366" s="53"/>
      <c r="W366" s="53"/>
      <c r="X366" s="53"/>
      <c r="AP366" s="54"/>
    </row>
    <row r="367" spans="1:42" ht="18" customHeight="1" x14ac:dyDescent="0.3">
      <c r="A367" s="7"/>
      <c r="H367" s="53"/>
      <c r="R367" s="53"/>
      <c r="T367" s="53"/>
      <c r="U367" s="53"/>
      <c r="V367" s="53"/>
      <c r="W367" s="53"/>
      <c r="X367" s="53"/>
      <c r="AP367" s="54"/>
    </row>
    <row r="368" spans="1:42" ht="18" customHeight="1" x14ac:dyDescent="0.3">
      <c r="A368" s="7"/>
      <c r="H368" s="53"/>
      <c r="R368" s="53"/>
      <c r="T368" s="53"/>
      <c r="U368" s="53"/>
      <c r="V368" s="53"/>
      <c r="W368" s="53"/>
      <c r="X368" s="53"/>
      <c r="AP368" s="54"/>
    </row>
    <row r="369" spans="1:42" ht="18" customHeight="1" x14ac:dyDescent="0.3">
      <c r="A369" s="7"/>
      <c r="H369" s="53"/>
      <c r="R369" s="53"/>
      <c r="T369" s="53"/>
      <c r="U369" s="53"/>
      <c r="V369" s="53"/>
      <c r="W369" s="53"/>
      <c r="X369" s="53"/>
      <c r="AP369" s="54"/>
    </row>
    <row r="370" spans="1:42" ht="18" customHeight="1" x14ac:dyDescent="0.3">
      <c r="A370" s="7"/>
      <c r="H370" s="53"/>
      <c r="R370" s="53"/>
      <c r="T370" s="53"/>
      <c r="U370" s="53"/>
      <c r="V370" s="53"/>
      <c r="W370" s="53"/>
      <c r="X370" s="53"/>
      <c r="AP370" s="54"/>
    </row>
    <row r="371" spans="1:42" ht="18" customHeight="1" x14ac:dyDescent="0.3">
      <c r="A371" s="7"/>
      <c r="H371" s="53"/>
      <c r="R371" s="53"/>
      <c r="T371" s="53"/>
      <c r="U371" s="53"/>
      <c r="V371" s="53"/>
      <c r="W371" s="53"/>
      <c r="X371" s="53"/>
      <c r="AP371" s="54"/>
    </row>
    <row r="372" spans="1:42" ht="18" customHeight="1" x14ac:dyDescent="0.3">
      <c r="A372" s="7"/>
      <c r="H372" s="53"/>
      <c r="R372" s="53"/>
      <c r="T372" s="53"/>
      <c r="U372" s="53"/>
      <c r="V372" s="53"/>
      <c r="W372" s="53"/>
      <c r="X372" s="53"/>
      <c r="AP372" s="54"/>
    </row>
    <row r="373" spans="1:42" ht="18" customHeight="1" x14ac:dyDescent="0.3">
      <c r="A373" s="7"/>
      <c r="H373" s="53"/>
      <c r="R373" s="53"/>
      <c r="T373" s="53"/>
      <c r="U373" s="53"/>
      <c r="V373" s="53"/>
      <c r="W373" s="53"/>
      <c r="X373" s="53"/>
      <c r="AP373" s="54"/>
    </row>
    <row r="374" spans="1:42" ht="18" customHeight="1" x14ac:dyDescent="0.3">
      <c r="A374" s="7"/>
      <c r="H374" s="53"/>
      <c r="R374" s="53"/>
      <c r="T374" s="53"/>
      <c r="U374" s="53"/>
      <c r="V374" s="53"/>
      <c r="W374" s="53"/>
      <c r="X374" s="53"/>
      <c r="AP374" s="54"/>
    </row>
    <row r="375" spans="1:42" ht="18" customHeight="1" x14ac:dyDescent="0.3">
      <c r="A375" s="7"/>
      <c r="H375" s="53"/>
      <c r="R375" s="53"/>
      <c r="T375" s="53"/>
      <c r="U375" s="53"/>
      <c r="V375" s="53"/>
      <c r="W375" s="53"/>
      <c r="X375" s="53"/>
      <c r="AP375" s="54"/>
    </row>
    <row r="376" spans="1:42" ht="18" customHeight="1" x14ac:dyDescent="0.3">
      <c r="A376" s="7"/>
      <c r="H376" s="53"/>
      <c r="R376" s="53"/>
      <c r="T376" s="53"/>
      <c r="U376" s="53"/>
      <c r="V376" s="53"/>
      <c r="W376" s="53"/>
      <c r="X376" s="53"/>
      <c r="AP376" s="54"/>
    </row>
    <row r="377" spans="1:42" ht="18" customHeight="1" x14ac:dyDescent="0.3">
      <c r="A377" s="7"/>
      <c r="H377" s="53"/>
      <c r="R377" s="53"/>
      <c r="T377" s="53"/>
      <c r="U377" s="53"/>
      <c r="V377" s="53"/>
      <c r="W377" s="53"/>
      <c r="X377" s="53"/>
      <c r="AP377" s="54"/>
    </row>
    <row r="378" spans="1:42" ht="18" customHeight="1" x14ac:dyDescent="0.3">
      <c r="A378" s="7"/>
      <c r="H378" s="53"/>
      <c r="R378" s="53"/>
      <c r="T378" s="53"/>
      <c r="U378" s="53"/>
      <c r="V378" s="53"/>
      <c r="W378" s="53"/>
      <c r="X378" s="53"/>
      <c r="AP378" s="54"/>
    </row>
    <row r="379" spans="1:42" ht="18" customHeight="1" x14ac:dyDescent="0.3">
      <c r="A379" s="7"/>
      <c r="H379" s="53"/>
      <c r="R379" s="53"/>
      <c r="T379" s="53"/>
      <c r="U379" s="53"/>
      <c r="V379" s="53"/>
      <c r="W379" s="53"/>
      <c r="X379" s="53"/>
      <c r="AP379" s="54"/>
    </row>
    <row r="380" spans="1:42" ht="18" customHeight="1" x14ac:dyDescent="0.3">
      <c r="A380" s="7"/>
      <c r="H380" s="53"/>
      <c r="R380" s="53"/>
      <c r="T380" s="53"/>
      <c r="U380" s="53"/>
      <c r="V380" s="53"/>
      <c r="W380" s="53"/>
      <c r="X380" s="53"/>
      <c r="AP380" s="54"/>
    </row>
    <row r="381" spans="1:42" ht="18" customHeight="1" x14ac:dyDescent="0.3">
      <c r="A381" s="7"/>
      <c r="H381" s="53"/>
      <c r="R381" s="53"/>
      <c r="T381" s="53"/>
      <c r="U381" s="53"/>
      <c r="V381" s="53"/>
      <c r="W381" s="53"/>
      <c r="X381" s="53"/>
      <c r="AP381" s="54"/>
    </row>
    <row r="382" spans="1:42" ht="18" customHeight="1" x14ac:dyDescent="0.3">
      <c r="A382" s="7"/>
      <c r="H382" s="53"/>
      <c r="R382" s="53"/>
      <c r="T382" s="53"/>
      <c r="U382" s="53"/>
      <c r="V382" s="53"/>
      <c r="W382" s="53"/>
      <c r="X382" s="53"/>
      <c r="AP382" s="54"/>
    </row>
    <row r="383" spans="1:42" ht="18" customHeight="1" x14ac:dyDescent="0.3">
      <c r="A383" s="7"/>
      <c r="H383" s="53"/>
      <c r="R383" s="53"/>
      <c r="T383" s="53"/>
      <c r="U383" s="53"/>
      <c r="V383" s="53"/>
      <c r="W383" s="53"/>
      <c r="X383" s="53"/>
      <c r="AP383" s="54"/>
    </row>
    <row r="384" spans="1:42" ht="18" customHeight="1" x14ac:dyDescent="0.3">
      <c r="A384" s="7"/>
      <c r="H384" s="53"/>
      <c r="R384" s="53"/>
      <c r="T384" s="53"/>
      <c r="U384" s="53"/>
      <c r="V384" s="53"/>
      <c r="W384" s="53"/>
      <c r="X384" s="53"/>
      <c r="AP384" s="54"/>
    </row>
    <row r="385" spans="1:42" ht="18" customHeight="1" x14ac:dyDescent="0.3">
      <c r="A385" s="7"/>
      <c r="H385" s="53"/>
      <c r="R385" s="53"/>
      <c r="T385" s="53"/>
      <c r="U385" s="53"/>
      <c r="V385" s="53"/>
      <c r="W385" s="53"/>
      <c r="X385" s="53"/>
      <c r="AP385" s="54"/>
    </row>
    <row r="386" spans="1:42" ht="18" customHeight="1" x14ac:dyDescent="0.3">
      <c r="A386" s="7"/>
      <c r="H386" s="53"/>
      <c r="R386" s="53"/>
      <c r="T386" s="53"/>
      <c r="U386" s="53"/>
      <c r="V386" s="53"/>
      <c r="W386" s="53"/>
      <c r="X386" s="53"/>
      <c r="AP386" s="54"/>
    </row>
    <row r="387" spans="1:42" ht="18" customHeight="1" x14ac:dyDescent="0.3">
      <c r="A387" s="7"/>
      <c r="H387" s="53"/>
      <c r="R387" s="53"/>
      <c r="T387" s="53"/>
      <c r="U387" s="53"/>
      <c r="V387" s="53"/>
      <c r="W387" s="53"/>
      <c r="X387" s="53"/>
      <c r="AP387" s="54"/>
    </row>
    <row r="388" spans="1:42" ht="18" customHeight="1" x14ac:dyDescent="0.3">
      <c r="A388" s="7"/>
      <c r="H388" s="53"/>
      <c r="R388" s="53"/>
      <c r="T388" s="53"/>
      <c r="U388" s="53"/>
      <c r="V388" s="53"/>
      <c r="W388" s="53"/>
      <c r="X388" s="53"/>
      <c r="AP388" s="54"/>
    </row>
    <row r="389" spans="1:42" ht="18" customHeight="1" x14ac:dyDescent="0.3">
      <c r="A389" s="7"/>
      <c r="H389" s="53"/>
      <c r="R389" s="53"/>
      <c r="T389" s="53"/>
      <c r="U389" s="53"/>
      <c r="V389" s="53"/>
      <c r="W389" s="53"/>
      <c r="X389" s="53"/>
      <c r="AP389" s="54"/>
    </row>
    <row r="390" spans="1:42" ht="18" customHeight="1" x14ac:dyDescent="0.3">
      <c r="A390" s="7"/>
      <c r="H390" s="53"/>
      <c r="R390" s="53"/>
      <c r="T390" s="53"/>
      <c r="U390" s="53"/>
      <c r="V390" s="53"/>
      <c r="W390" s="53"/>
      <c r="X390" s="53"/>
      <c r="AP390" s="54"/>
    </row>
    <row r="391" spans="1:42" ht="18" customHeight="1" x14ac:dyDescent="0.3">
      <c r="A391" s="7"/>
      <c r="H391" s="53"/>
      <c r="R391" s="53"/>
      <c r="T391" s="53"/>
      <c r="U391" s="53"/>
      <c r="V391" s="53"/>
      <c r="W391" s="53"/>
      <c r="X391" s="53"/>
      <c r="AP391" s="54"/>
    </row>
    <row r="392" spans="1:42" ht="18" customHeight="1" x14ac:dyDescent="0.3">
      <c r="A392" s="7"/>
      <c r="H392" s="53"/>
      <c r="R392" s="53"/>
      <c r="T392" s="53"/>
      <c r="U392" s="53"/>
      <c r="V392" s="53"/>
      <c r="W392" s="53"/>
      <c r="X392" s="53"/>
      <c r="AP392" s="54"/>
    </row>
    <row r="393" spans="1:42" ht="18" customHeight="1" x14ac:dyDescent="0.3">
      <c r="A393" s="7"/>
      <c r="H393" s="53"/>
      <c r="R393" s="53"/>
      <c r="T393" s="53"/>
      <c r="U393" s="53"/>
      <c r="V393" s="53"/>
      <c r="W393" s="53"/>
      <c r="X393" s="53"/>
      <c r="AP393" s="54"/>
    </row>
    <row r="394" spans="1:42" ht="18" customHeight="1" x14ac:dyDescent="0.3">
      <c r="A394" s="7"/>
      <c r="H394" s="53"/>
      <c r="R394" s="53"/>
      <c r="T394" s="53"/>
      <c r="U394" s="53"/>
      <c r="V394" s="53"/>
      <c r="W394" s="53"/>
      <c r="X394" s="53"/>
      <c r="AP394" s="54"/>
    </row>
    <row r="395" spans="1:42" ht="18" customHeight="1" x14ac:dyDescent="0.3">
      <c r="A395" s="7"/>
      <c r="H395" s="53"/>
      <c r="R395" s="53"/>
      <c r="T395" s="53"/>
      <c r="U395" s="53"/>
      <c r="V395" s="53"/>
      <c r="W395" s="53"/>
      <c r="X395" s="53"/>
      <c r="AP395" s="54"/>
    </row>
    <row r="396" spans="1:42" ht="18" customHeight="1" x14ac:dyDescent="0.3">
      <c r="A396" s="7"/>
      <c r="H396" s="53"/>
      <c r="R396" s="53"/>
      <c r="T396" s="53"/>
      <c r="U396" s="53"/>
      <c r="V396" s="53"/>
      <c r="W396" s="53"/>
      <c r="X396" s="53"/>
      <c r="AP396" s="54"/>
    </row>
    <row r="397" spans="1:42" ht="18" customHeight="1" x14ac:dyDescent="0.3">
      <c r="A397" s="7"/>
      <c r="H397" s="53"/>
      <c r="R397" s="53"/>
      <c r="T397" s="53"/>
      <c r="U397" s="53"/>
      <c r="V397" s="53"/>
      <c r="W397" s="53"/>
      <c r="X397" s="53"/>
      <c r="AP397" s="54"/>
    </row>
    <row r="398" spans="1:42" ht="18" customHeight="1" x14ac:dyDescent="0.3">
      <c r="A398" s="7"/>
      <c r="H398" s="53"/>
      <c r="R398" s="53"/>
      <c r="T398" s="53"/>
      <c r="U398" s="53"/>
      <c r="V398" s="53"/>
      <c r="W398" s="53"/>
      <c r="X398" s="53"/>
      <c r="AP398" s="54"/>
    </row>
    <row r="399" spans="1:42" ht="18" customHeight="1" x14ac:dyDescent="0.3">
      <c r="A399" s="7"/>
      <c r="H399" s="53"/>
      <c r="R399" s="53"/>
      <c r="T399" s="53"/>
      <c r="U399" s="53"/>
      <c r="V399" s="53"/>
      <c r="W399" s="53"/>
      <c r="X399" s="53"/>
      <c r="AP399" s="54"/>
    </row>
    <row r="400" spans="1:42" ht="18" customHeight="1" x14ac:dyDescent="0.3">
      <c r="A400" s="7"/>
      <c r="H400" s="53"/>
      <c r="R400" s="53"/>
      <c r="T400" s="53"/>
      <c r="U400" s="53"/>
      <c r="V400" s="53"/>
      <c r="W400" s="53"/>
      <c r="X400" s="53"/>
      <c r="AP400" s="54"/>
    </row>
    <row r="401" spans="1:42" ht="18" customHeight="1" x14ac:dyDescent="0.3">
      <c r="A401" s="7"/>
      <c r="H401" s="53"/>
      <c r="R401" s="53"/>
      <c r="T401" s="53"/>
      <c r="U401" s="53"/>
      <c r="V401" s="53"/>
      <c r="W401" s="53"/>
      <c r="X401" s="53"/>
      <c r="AP401" s="54"/>
    </row>
    <row r="402" spans="1:42" ht="18" customHeight="1" x14ac:dyDescent="0.3">
      <c r="A402" s="7"/>
      <c r="H402" s="53"/>
      <c r="R402" s="53"/>
      <c r="T402" s="53"/>
      <c r="U402" s="53"/>
      <c r="V402" s="53"/>
      <c r="W402" s="53"/>
      <c r="X402" s="53"/>
      <c r="AP402" s="54"/>
    </row>
    <row r="403" spans="1:42" ht="18" customHeight="1" x14ac:dyDescent="0.3">
      <c r="A403" s="7"/>
      <c r="H403" s="53"/>
      <c r="R403" s="53"/>
      <c r="T403" s="53"/>
      <c r="U403" s="53"/>
      <c r="V403" s="53"/>
      <c r="W403" s="53"/>
      <c r="X403" s="53"/>
      <c r="AP403" s="54"/>
    </row>
    <row r="404" spans="1:42" ht="18" customHeight="1" x14ac:dyDescent="0.3">
      <c r="A404" s="7"/>
      <c r="H404" s="53"/>
      <c r="R404" s="53"/>
      <c r="T404" s="53"/>
      <c r="U404" s="53"/>
      <c r="V404" s="53"/>
      <c r="W404" s="53"/>
      <c r="X404" s="53"/>
      <c r="AP404" s="54"/>
    </row>
    <row r="405" spans="1:42" ht="18" customHeight="1" x14ac:dyDescent="0.3">
      <c r="A405" s="7"/>
      <c r="H405" s="53"/>
      <c r="R405" s="53"/>
      <c r="T405" s="53"/>
      <c r="U405" s="53"/>
      <c r="V405" s="53"/>
      <c r="W405" s="53"/>
      <c r="X405" s="53"/>
      <c r="AP405" s="54"/>
    </row>
    <row r="406" spans="1:42" ht="18" customHeight="1" x14ac:dyDescent="0.3">
      <c r="A406" s="7"/>
      <c r="H406" s="53"/>
      <c r="R406" s="53"/>
      <c r="T406" s="53"/>
      <c r="U406" s="53"/>
      <c r="V406" s="53"/>
      <c r="W406" s="53"/>
      <c r="X406" s="53"/>
      <c r="AP406" s="54"/>
    </row>
    <row r="407" spans="1:42" ht="18" customHeight="1" x14ac:dyDescent="0.3">
      <c r="A407" s="7"/>
      <c r="H407" s="53"/>
      <c r="R407" s="53"/>
      <c r="T407" s="53"/>
      <c r="U407" s="53"/>
      <c r="V407" s="53"/>
      <c r="W407" s="53"/>
      <c r="X407" s="53"/>
      <c r="AP407" s="54"/>
    </row>
    <row r="408" spans="1:42" ht="18" customHeight="1" x14ac:dyDescent="0.3">
      <c r="A408" s="7"/>
      <c r="H408" s="53"/>
      <c r="R408" s="53"/>
      <c r="T408" s="53"/>
      <c r="U408" s="53"/>
      <c r="V408" s="53"/>
      <c r="W408" s="53"/>
      <c r="X408" s="53"/>
      <c r="AP408" s="54"/>
    </row>
    <row r="409" spans="1:42" ht="18" customHeight="1" x14ac:dyDescent="0.3">
      <c r="A409" s="7"/>
      <c r="H409" s="53"/>
      <c r="R409" s="53"/>
      <c r="T409" s="53"/>
      <c r="U409" s="53"/>
      <c r="V409" s="53"/>
      <c r="W409" s="53"/>
      <c r="X409" s="53"/>
      <c r="AP409" s="54"/>
    </row>
    <row r="410" spans="1:42" ht="18" customHeight="1" x14ac:dyDescent="0.3">
      <c r="A410" s="7"/>
      <c r="H410" s="53"/>
      <c r="R410" s="53"/>
      <c r="T410" s="53"/>
      <c r="U410" s="53"/>
      <c r="V410" s="53"/>
      <c r="W410" s="53"/>
      <c r="X410" s="53"/>
      <c r="AP410" s="54"/>
    </row>
    <row r="411" spans="1:42" ht="18" customHeight="1" x14ac:dyDescent="0.3">
      <c r="A411" s="7"/>
      <c r="H411" s="53"/>
      <c r="R411" s="53"/>
      <c r="T411" s="53"/>
      <c r="U411" s="53"/>
      <c r="V411" s="53"/>
      <c r="W411" s="53"/>
      <c r="X411" s="53"/>
      <c r="AP411" s="54"/>
    </row>
    <row r="412" spans="1:42" ht="18" customHeight="1" x14ac:dyDescent="0.3">
      <c r="A412" s="7"/>
      <c r="H412" s="53"/>
      <c r="R412" s="53"/>
      <c r="T412" s="53"/>
      <c r="U412" s="53"/>
      <c r="V412" s="53"/>
      <c r="W412" s="53"/>
      <c r="X412" s="53"/>
      <c r="AP412" s="54"/>
    </row>
    <row r="413" spans="1:42" ht="18" customHeight="1" x14ac:dyDescent="0.3">
      <c r="A413" s="7"/>
      <c r="H413" s="53"/>
      <c r="R413" s="53"/>
      <c r="T413" s="53"/>
      <c r="U413" s="53"/>
      <c r="V413" s="53"/>
      <c r="W413" s="53"/>
      <c r="X413" s="53"/>
      <c r="AP413" s="54"/>
    </row>
    <row r="414" spans="1:42" ht="18" customHeight="1" x14ac:dyDescent="0.3">
      <c r="A414" s="7"/>
      <c r="H414" s="53"/>
      <c r="R414" s="53"/>
      <c r="T414" s="53"/>
      <c r="U414" s="53"/>
      <c r="V414" s="53"/>
      <c r="W414" s="53"/>
      <c r="X414" s="53"/>
      <c r="AP414" s="54"/>
    </row>
    <row r="415" spans="1:42" ht="18" customHeight="1" x14ac:dyDescent="0.3">
      <c r="A415" s="7"/>
      <c r="H415" s="53"/>
      <c r="R415" s="53"/>
      <c r="T415" s="53"/>
      <c r="U415" s="53"/>
      <c r="V415" s="53"/>
      <c r="W415" s="53"/>
      <c r="X415" s="53"/>
      <c r="AP415" s="54"/>
    </row>
    <row r="416" spans="1:42" ht="18" customHeight="1" x14ac:dyDescent="0.3">
      <c r="A416" s="7"/>
      <c r="H416" s="53"/>
      <c r="R416" s="53"/>
      <c r="T416" s="53"/>
      <c r="U416" s="53"/>
      <c r="V416" s="53"/>
      <c r="W416" s="53"/>
      <c r="X416" s="53"/>
      <c r="AP416" s="54"/>
    </row>
    <row r="417" spans="1:42" ht="18" customHeight="1" x14ac:dyDescent="0.3">
      <c r="A417" s="7"/>
      <c r="H417" s="53"/>
      <c r="R417" s="53"/>
      <c r="T417" s="53"/>
      <c r="U417" s="53"/>
      <c r="V417" s="53"/>
      <c r="W417" s="53"/>
      <c r="X417" s="53"/>
      <c r="AP417" s="54"/>
    </row>
    <row r="418" spans="1:42" ht="18" customHeight="1" x14ac:dyDescent="0.3">
      <c r="A418" s="7"/>
      <c r="H418" s="53"/>
      <c r="R418" s="53"/>
      <c r="T418" s="53"/>
      <c r="U418" s="53"/>
      <c r="V418" s="53"/>
      <c r="W418" s="53"/>
      <c r="X418" s="53"/>
      <c r="AP418" s="54"/>
    </row>
    <row r="419" spans="1:42" ht="18" customHeight="1" x14ac:dyDescent="0.3">
      <c r="A419" s="7"/>
      <c r="H419" s="53"/>
      <c r="R419" s="53"/>
      <c r="T419" s="53"/>
      <c r="U419" s="53"/>
      <c r="V419" s="53"/>
      <c r="W419" s="53"/>
      <c r="X419" s="53"/>
      <c r="AP419" s="54"/>
    </row>
    <row r="420" spans="1:42" ht="18" customHeight="1" x14ac:dyDescent="0.3">
      <c r="A420" s="7"/>
      <c r="H420" s="53"/>
      <c r="R420" s="53"/>
      <c r="T420" s="53"/>
      <c r="U420" s="53"/>
      <c r="V420" s="53"/>
      <c r="W420" s="53"/>
      <c r="X420" s="53"/>
      <c r="AP420" s="54"/>
    </row>
    <row r="421" spans="1:42" ht="18" customHeight="1" x14ac:dyDescent="0.3">
      <c r="A421" s="7"/>
      <c r="H421" s="53"/>
      <c r="R421" s="53"/>
      <c r="T421" s="53"/>
      <c r="U421" s="53"/>
      <c r="V421" s="53"/>
      <c r="W421" s="53"/>
      <c r="X421" s="53"/>
      <c r="AP421" s="54"/>
    </row>
    <row r="422" spans="1:42" ht="18" customHeight="1" x14ac:dyDescent="0.3">
      <c r="A422" s="7"/>
      <c r="H422" s="53"/>
      <c r="R422" s="53"/>
      <c r="T422" s="53"/>
      <c r="U422" s="53"/>
      <c r="V422" s="53"/>
      <c r="W422" s="53"/>
      <c r="X422" s="53"/>
      <c r="AP422" s="54"/>
    </row>
    <row r="423" spans="1:42" ht="18" customHeight="1" x14ac:dyDescent="0.3">
      <c r="A423" s="7"/>
      <c r="H423" s="53"/>
      <c r="R423" s="53"/>
      <c r="T423" s="53"/>
      <c r="U423" s="53"/>
      <c r="V423" s="53"/>
      <c r="W423" s="53"/>
      <c r="X423" s="53"/>
      <c r="AP423" s="54"/>
    </row>
    <row r="424" spans="1:42" ht="18" customHeight="1" x14ac:dyDescent="0.3">
      <c r="A424" s="7"/>
      <c r="H424" s="53"/>
      <c r="R424" s="53"/>
      <c r="T424" s="53"/>
      <c r="U424" s="53"/>
      <c r="V424" s="53"/>
      <c r="W424" s="53"/>
      <c r="X424" s="53"/>
      <c r="AP424" s="54"/>
    </row>
    <row r="425" spans="1:42" ht="18" customHeight="1" x14ac:dyDescent="0.3">
      <c r="A425" s="7"/>
      <c r="H425" s="53"/>
      <c r="R425" s="53"/>
      <c r="T425" s="53"/>
      <c r="U425" s="53"/>
      <c r="V425" s="53"/>
      <c r="W425" s="53"/>
      <c r="X425" s="53"/>
      <c r="AP425" s="54"/>
    </row>
    <row r="426" spans="1:42" ht="18" customHeight="1" x14ac:dyDescent="0.3">
      <c r="A426" s="7"/>
      <c r="H426" s="53"/>
      <c r="R426" s="53"/>
      <c r="T426" s="53"/>
      <c r="U426" s="53"/>
      <c r="V426" s="53"/>
      <c r="W426" s="53"/>
      <c r="X426" s="53"/>
      <c r="AP426" s="54"/>
    </row>
    <row r="427" spans="1:42" ht="18" customHeight="1" x14ac:dyDescent="0.3">
      <c r="A427" s="7"/>
      <c r="H427" s="53"/>
      <c r="R427" s="53"/>
      <c r="T427" s="53"/>
      <c r="U427" s="53"/>
      <c r="V427" s="53"/>
      <c r="W427" s="53"/>
      <c r="X427" s="53"/>
      <c r="AP427" s="54"/>
    </row>
    <row r="428" spans="1:42" ht="18" customHeight="1" x14ac:dyDescent="0.3">
      <c r="A428" s="7"/>
      <c r="H428" s="53"/>
      <c r="R428" s="53"/>
      <c r="T428" s="53"/>
      <c r="U428" s="53"/>
      <c r="V428" s="53"/>
      <c r="W428" s="53"/>
      <c r="X428" s="53"/>
      <c r="AP428" s="54"/>
    </row>
    <row r="429" spans="1:42" ht="18" customHeight="1" x14ac:dyDescent="0.3">
      <c r="A429" s="7"/>
      <c r="H429" s="53"/>
      <c r="R429" s="53"/>
      <c r="T429" s="53"/>
      <c r="U429" s="53"/>
      <c r="V429" s="53"/>
      <c r="W429" s="53"/>
      <c r="X429" s="53"/>
      <c r="AP429" s="54"/>
    </row>
    <row r="430" spans="1:42" ht="18" customHeight="1" x14ac:dyDescent="0.3">
      <c r="A430" s="7"/>
      <c r="H430" s="53"/>
      <c r="R430" s="53"/>
      <c r="T430" s="53"/>
      <c r="U430" s="53"/>
      <c r="V430" s="53"/>
      <c r="W430" s="53"/>
      <c r="X430" s="53"/>
      <c r="AP430" s="54"/>
    </row>
    <row r="431" spans="1:42" ht="18" customHeight="1" x14ac:dyDescent="0.3">
      <c r="A431" s="7"/>
      <c r="H431" s="53"/>
      <c r="R431" s="53"/>
      <c r="T431" s="53"/>
      <c r="U431" s="53"/>
      <c r="V431" s="53"/>
      <c r="W431" s="53"/>
      <c r="X431" s="53"/>
      <c r="AP431" s="54"/>
    </row>
    <row r="432" spans="1:42" ht="18" customHeight="1" x14ac:dyDescent="0.3">
      <c r="A432" s="7"/>
      <c r="H432" s="53"/>
      <c r="R432" s="53"/>
      <c r="T432" s="53"/>
      <c r="U432" s="53"/>
      <c r="V432" s="53"/>
      <c r="W432" s="53"/>
      <c r="X432" s="53"/>
      <c r="AP432" s="54"/>
    </row>
    <row r="433" spans="1:42" ht="18" customHeight="1" x14ac:dyDescent="0.3">
      <c r="A433" s="7"/>
      <c r="H433" s="53"/>
      <c r="R433" s="53"/>
      <c r="T433" s="53"/>
      <c r="U433" s="53"/>
      <c r="V433" s="53"/>
      <c r="W433" s="53"/>
      <c r="X433" s="53"/>
      <c r="AP433" s="54"/>
    </row>
    <row r="434" spans="1:42" ht="18" customHeight="1" x14ac:dyDescent="0.3">
      <c r="A434" s="7"/>
      <c r="H434" s="53"/>
      <c r="R434" s="53"/>
      <c r="T434" s="53"/>
      <c r="U434" s="53"/>
      <c r="V434" s="53"/>
      <c r="W434" s="53"/>
      <c r="X434" s="53"/>
      <c r="AP434" s="54"/>
    </row>
    <row r="435" spans="1:42" ht="18" customHeight="1" x14ac:dyDescent="0.3">
      <c r="A435" s="7"/>
      <c r="H435" s="53"/>
      <c r="R435" s="53"/>
      <c r="T435" s="53"/>
      <c r="U435" s="53"/>
      <c r="V435" s="53"/>
      <c r="W435" s="53"/>
      <c r="X435" s="53"/>
      <c r="AP435" s="54"/>
    </row>
    <row r="436" spans="1:42" ht="18" customHeight="1" x14ac:dyDescent="0.3">
      <c r="A436" s="7"/>
      <c r="H436" s="53"/>
      <c r="R436" s="53"/>
      <c r="T436" s="53"/>
      <c r="U436" s="53"/>
      <c r="V436" s="53"/>
      <c r="W436" s="53"/>
      <c r="X436" s="53"/>
      <c r="AP436" s="54"/>
    </row>
    <row r="437" spans="1:42" ht="18" customHeight="1" x14ac:dyDescent="0.3">
      <c r="A437" s="7"/>
      <c r="H437" s="53"/>
      <c r="R437" s="53"/>
      <c r="T437" s="53"/>
      <c r="U437" s="53"/>
      <c r="V437" s="53"/>
      <c r="W437" s="53"/>
      <c r="X437" s="53"/>
      <c r="AP437" s="54"/>
    </row>
    <row r="438" spans="1:42" ht="18" customHeight="1" x14ac:dyDescent="0.3">
      <c r="A438" s="7"/>
      <c r="H438" s="53"/>
      <c r="R438" s="53"/>
      <c r="T438" s="53"/>
      <c r="U438" s="53"/>
      <c r="V438" s="53"/>
      <c r="W438" s="53"/>
      <c r="X438" s="53"/>
      <c r="AP438" s="54"/>
    </row>
    <row r="439" spans="1:42" ht="18" customHeight="1" x14ac:dyDescent="0.3">
      <c r="A439" s="7"/>
      <c r="H439" s="53"/>
      <c r="R439" s="53"/>
      <c r="T439" s="53"/>
      <c r="U439" s="53"/>
      <c r="V439" s="53"/>
      <c r="W439" s="53"/>
      <c r="X439" s="53"/>
      <c r="AP439" s="54"/>
    </row>
    <row r="440" spans="1:42" ht="18" customHeight="1" x14ac:dyDescent="0.3">
      <c r="A440" s="7"/>
      <c r="H440" s="53"/>
      <c r="R440" s="53"/>
      <c r="T440" s="53"/>
      <c r="U440" s="53"/>
      <c r="V440" s="53"/>
      <c r="W440" s="53"/>
      <c r="X440" s="53"/>
      <c r="AP440" s="54"/>
    </row>
    <row r="441" spans="1:42" ht="18" customHeight="1" x14ac:dyDescent="0.3">
      <c r="A441" s="7"/>
      <c r="H441" s="53"/>
      <c r="R441" s="53"/>
      <c r="T441" s="53"/>
      <c r="U441" s="53"/>
      <c r="V441" s="53"/>
      <c r="W441" s="53"/>
      <c r="X441" s="53"/>
      <c r="AP441" s="54"/>
    </row>
    <row r="442" spans="1:42" ht="18" customHeight="1" x14ac:dyDescent="0.3">
      <c r="A442" s="7"/>
      <c r="H442" s="53"/>
      <c r="R442" s="53"/>
      <c r="T442" s="53"/>
      <c r="U442" s="53"/>
      <c r="V442" s="53"/>
      <c r="W442" s="53"/>
      <c r="X442" s="53"/>
      <c r="AP442" s="54"/>
    </row>
    <row r="443" spans="1:42" ht="18" customHeight="1" x14ac:dyDescent="0.3">
      <c r="A443" s="7"/>
      <c r="H443" s="53"/>
      <c r="R443" s="53"/>
      <c r="T443" s="53"/>
      <c r="U443" s="53"/>
      <c r="V443" s="53"/>
      <c r="W443" s="53"/>
      <c r="X443" s="53"/>
      <c r="AP443" s="54"/>
    </row>
    <row r="444" spans="1:42" ht="18" customHeight="1" x14ac:dyDescent="0.3">
      <c r="A444" s="7"/>
      <c r="H444" s="53"/>
      <c r="R444" s="53"/>
      <c r="T444" s="53"/>
      <c r="U444" s="53"/>
      <c r="V444" s="53"/>
      <c r="W444" s="53"/>
      <c r="X444" s="53"/>
      <c r="AP444" s="54"/>
    </row>
    <row r="445" spans="1:42" ht="18" customHeight="1" x14ac:dyDescent="0.3">
      <c r="A445" s="7"/>
      <c r="H445" s="53"/>
      <c r="R445" s="53"/>
      <c r="T445" s="53"/>
      <c r="U445" s="53"/>
      <c r="V445" s="53"/>
      <c r="W445" s="53"/>
      <c r="X445" s="53"/>
      <c r="AP445" s="54"/>
    </row>
    <row r="446" spans="1:42" ht="18" customHeight="1" x14ac:dyDescent="0.3">
      <c r="A446" s="7"/>
      <c r="H446" s="53"/>
      <c r="R446" s="53"/>
      <c r="T446" s="53"/>
      <c r="U446" s="53"/>
      <c r="V446" s="53"/>
      <c r="W446" s="53"/>
      <c r="X446" s="53"/>
      <c r="AP446" s="54"/>
    </row>
    <row r="447" spans="1:42" ht="18" customHeight="1" x14ac:dyDescent="0.3">
      <c r="A447" s="7"/>
      <c r="H447" s="53"/>
      <c r="R447" s="53"/>
      <c r="T447" s="53"/>
      <c r="U447" s="53"/>
      <c r="V447" s="53"/>
      <c r="W447" s="53"/>
      <c r="X447" s="53"/>
      <c r="AP447" s="54"/>
    </row>
    <row r="448" spans="1:42" ht="18" customHeight="1" x14ac:dyDescent="0.3">
      <c r="A448" s="7"/>
      <c r="H448" s="53"/>
      <c r="R448" s="53"/>
      <c r="T448" s="53"/>
      <c r="U448" s="53"/>
      <c r="V448" s="53"/>
      <c r="W448" s="53"/>
      <c r="X448" s="53"/>
      <c r="AP448" s="54"/>
    </row>
    <row r="449" spans="1:42" ht="18" customHeight="1" x14ac:dyDescent="0.3">
      <c r="A449" s="7"/>
      <c r="H449" s="53"/>
      <c r="R449" s="53"/>
      <c r="T449" s="53"/>
      <c r="U449" s="53"/>
      <c r="V449" s="53"/>
      <c r="W449" s="53"/>
      <c r="X449" s="53"/>
      <c r="AP449" s="54"/>
    </row>
    <row r="450" spans="1:42" ht="18" customHeight="1" x14ac:dyDescent="0.3">
      <c r="A450" s="7"/>
      <c r="H450" s="53"/>
      <c r="R450" s="53"/>
      <c r="T450" s="53"/>
      <c r="U450" s="53"/>
      <c r="V450" s="53"/>
      <c r="W450" s="53"/>
      <c r="X450" s="53"/>
      <c r="AP450" s="54"/>
    </row>
    <row r="451" spans="1:42" ht="18" customHeight="1" x14ac:dyDescent="0.3">
      <c r="A451" s="7"/>
      <c r="H451" s="53"/>
      <c r="R451" s="53"/>
      <c r="T451" s="53"/>
      <c r="U451" s="53"/>
      <c r="V451" s="53"/>
      <c r="W451" s="53"/>
      <c r="X451" s="53"/>
      <c r="AP451" s="54"/>
    </row>
    <row r="452" spans="1:42" ht="18" customHeight="1" x14ac:dyDescent="0.3">
      <c r="A452" s="7"/>
      <c r="H452" s="53"/>
      <c r="R452" s="53"/>
      <c r="T452" s="53"/>
      <c r="U452" s="53"/>
      <c r="V452" s="53"/>
      <c r="W452" s="53"/>
      <c r="X452" s="53"/>
      <c r="AP452" s="54"/>
    </row>
    <row r="453" spans="1:42" ht="18" customHeight="1" x14ac:dyDescent="0.3">
      <c r="A453" s="7"/>
      <c r="H453" s="53"/>
      <c r="R453" s="53"/>
      <c r="T453" s="53"/>
      <c r="U453" s="53"/>
      <c r="V453" s="53"/>
      <c r="W453" s="53"/>
      <c r="X453" s="53"/>
      <c r="AP453" s="54"/>
    </row>
    <row r="454" spans="1:42" ht="18" customHeight="1" x14ac:dyDescent="0.3">
      <c r="A454" s="7"/>
      <c r="H454" s="53"/>
      <c r="R454" s="53"/>
      <c r="T454" s="53"/>
      <c r="U454" s="53"/>
      <c r="V454" s="53"/>
      <c r="W454" s="53"/>
      <c r="X454" s="53"/>
      <c r="AP454" s="54"/>
    </row>
    <row r="455" spans="1:42" ht="18" customHeight="1" x14ac:dyDescent="0.3">
      <c r="A455" s="7"/>
      <c r="H455" s="53"/>
      <c r="R455" s="53"/>
      <c r="T455" s="53"/>
      <c r="U455" s="53"/>
      <c r="V455" s="53"/>
      <c r="W455" s="53"/>
      <c r="X455" s="53"/>
      <c r="AP455" s="54"/>
    </row>
    <row r="456" spans="1:42" ht="18" customHeight="1" x14ac:dyDescent="0.3">
      <c r="A456" s="7"/>
      <c r="H456" s="53"/>
      <c r="R456" s="53"/>
      <c r="T456" s="53"/>
      <c r="U456" s="53"/>
      <c r="V456" s="53"/>
      <c r="W456" s="53"/>
      <c r="X456" s="53"/>
      <c r="AP456" s="54"/>
    </row>
    <row r="457" spans="1:42" ht="18" customHeight="1" x14ac:dyDescent="0.3">
      <c r="A457" s="7"/>
      <c r="H457" s="53"/>
      <c r="R457" s="53"/>
      <c r="T457" s="53"/>
      <c r="U457" s="53"/>
      <c r="V457" s="53"/>
      <c r="W457" s="53"/>
      <c r="X457" s="53"/>
      <c r="AP457" s="54"/>
    </row>
    <row r="458" spans="1:42" ht="18" customHeight="1" x14ac:dyDescent="0.3">
      <c r="A458" s="7"/>
      <c r="H458" s="53"/>
      <c r="R458" s="53"/>
      <c r="T458" s="53"/>
      <c r="U458" s="53"/>
      <c r="V458" s="53"/>
      <c r="W458" s="53"/>
      <c r="X458" s="53"/>
      <c r="AP458" s="54"/>
    </row>
    <row r="459" spans="1:42" ht="18" customHeight="1" x14ac:dyDescent="0.3">
      <c r="A459" s="7"/>
      <c r="H459" s="53"/>
      <c r="R459" s="53"/>
      <c r="T459" s="53"/>
      <c r="U459" s="53"/>
      <c r="V459" s="53"/>
      <c r="W459" s="53"/>
      <c r="X459" s="53"/>
      <c r="AP459" s="54"/>
    </row>
    <row r="460" spans="1:42" ht="18" customHeight="1" x14ac:dyDescent="0.3">
      <c r="A460" s="7"/>
      <c r="H460" s="53"/>
      <c r="R460" s="53"/>
      <c r="T460" s="53"/>
      <c r="U460" s="53"/>
      <c r="V460" s="53"/>
      <c r="W460" s="53"/>
      <c r="X460" s="53"/>
      <c r="AP460" s="54"/>
    </row>
    <row r="461" spans="1:42" ht="18" customHeight="1" x14ac:dyDescent="0.3">
      <c r="A461" s="7"/>
      <c r="H461" s="53"/>
      <c r="R461" s="53"/>
      <c r="T461" s="53"/>
      <c r="U461" s="53"/>
      <c r="V461" s="53"/>
      <c r="W461" s="53"/>
      <c r="X461" s="53"/>
      <c r="AP461" s="54"/>
    </row>
    <row r="462" spans="1:42" ht="18" customHeight="1" x14ac:dyDescent="0.3">
      <c r="A462" s="7"/>
      <c r="H462" s="53"/>
      <c r="R462" s="53"/>
      <c r="T462" s="53"/>
      <c r="U462" s="53"/>
      <c r="V462" s="53"/>
      <c r="W462" s="53"/>
      <c r="X462" s="53"/>
      <c r="AP462" s="54"/>
    </row>
    <row r="463" spans="1:42" ht="18" customHeight="1" x14ac:dyDescent="0.3">
      <c r="A463" s="7"/>
      <c r="H463" s="53"/>
      <c r="R463" s="53"/>
      <c r="T463" s="53"/>
      <c r="U463" s="53"/>
      <c r="V463" s="53"/>
      <c r="W463" s="53"/>
      <c r="X463" s="53"/>
      <c r="AP463" s="54"/>
    </row>
    <row r="464" spans="1:42" ht="18" customHeight="1" x14ac:dyDescent="0.3">
      <c r="A464" s="7"/>
      <c r="H464" s="53"/>
      <c r="R464" s="53"/>
      <c r="T464" s="53"/>
      <c r="U464" s="53"/>
      <c r="V464" s="53"/>
      <c r="W464" s="53"/>
      <c r="X464" s="53"/>
      <c r="AP464" s="54"/>
    </row>
    <row r="465" spans="1:42" ht="18" customHeight="1" x14ac:dyDescent="0.3">
      <c r="A465" s="7"/>
      <c r="H465" s="53"/>
      <c r="R465" s="53"/>
      <c r="T465" s="53"/>
      <c r="U465" s="53"/>
      <c r="V465" s="53"/>
      <c r="W465" s="53"/>
      <c r="X465" s="53"/>
      <c r="AP465" s="54"/>
    </row>
    <row r="466" spans="1:42" ht="18" customHeight="1" x14ac:dyDescent="0.3">
      <c r="A466" s="7"/>
      <c r="H466" s="53"/>
      <c r="R466" s="53"/>
      <c r="T466" s="53"/>
      <c r="U466" s="53"/>
      <c r="V466" s="53"/>
      <c r="W466" s="53"/>
      <c r="X466" s="53"/>
      <c r="AP466" s="54"/>
    </row>
    <row r="467" spans="1:42" ht="18" customHeight="1" x14ac:dyDescent="0.3">
      <c r="A467" s="7"/>
      <c r="H467" s="53"/>
      <c r="R467" s="53"/>
      <c r="T467" s="53"/>
      <c r="U467" s="53"/>
      <c r="V467" s="53"/>
      <c r="W467" s="53"/>
      <c r="X467" s="53"/>
      <c r="AP467" s="54"/>
    </row>
    <row r="468" spans="1:42" ht="18" customHeight="1" x14ac:dyDescent="0.3">
      <c r="A468" s="7"/>
      <c r="H468" s="53"/>
      <c r="R468" s="53"/>
      <c r="T468" s="53"/>
      <c r="U468" s="53"/>
      <c r="V468" s="53"/>
      <c r="W468" s="53"/>
      <c r="X468" s="53"/>
      <c r="AP468" s="54"/>
    </row>
    <row r="469" spans="1:42" ht="18" customHeight="1" x14ac:dyDescent="0.3">
      <c r="A469" s="7"/>
      <c r="H469" s="53"/>
      <c r="R469" s="53"/>
      <c r="T469" s="53"/>
      <c r="U469" s="53"/>
      <c r="V469" s="53"/>
      <c r="W469" s="53"/>
      <c r="X469" s="53"/>
      <c r="AP469" s="54"/>
    </row>
    <row r="470" spans="1:42" ht="18" customHeight="1" x14ac:dyDescent="0.3">
      <c r="A470" s="7"/>
      <c r="H470" s="53"/>
      <c r="R470" s="53"/>
      <c r="T470" s="53"/>
      <c r="U470" s="53"/>
      <c r="V470" s="53"/>
      <c r="W470" s="53"/>
      <c r="X470" s="53"/>
      <c r="AP470" s="54"/>
    </row>
    <row r="471" spans="1:42" ht="18" customHeight="1" x14ac:dyDescent="0.3">
      <c r="A471" s="7"/>
      <c r="H471" s="53"/>
      <c r="R471" s="53"/>
      <c r="T471" s="53"/>
      <c r="U471" s="53"/>
      <c r="V471" s="53"/>
      <c r="W471" s="53"/>
      <c r="X471" s="53"/>
      <c r="AP471" s="54"/>
    </row>
    <row r="472" spans="1:42" ht="18" customHeight="1" x14ac:dyDescent="0.3">
      <c r="A472" s="7"/>
      <c r="H472" s="53"/>
      <c r="R472" s="53"/>
      <c r="T472" s="53"/>
      <c r="U472" s="53"/>
      <c r="V472" s="53"/>
      <c r="W472" s="53"/>
      <c r="X472" s="53"/>
      <c r="AP472" s="54"/>
    </row>
    <row r="473" spans="1:42" ht="18" customHeight="1" x14ac:dyDescent="0.3">
      <c r="A473" s="7"/>
      <c r="H473" s="53"/>
      <c r="R473" s="53"/>
      <c r="T473" s="53"/>
      <c r="U473" s="53"/>
      <c r="V473" s="53"/>
      <c r="W473" s="53"/>
      <c r="X473" s="53"/>
      <c r="AP473" s="54"/>
    </row>
    <row r="474" spans="1:42" ht="18" customHeight="1" x14ac:dyDescent="0.3">
      <c r="A474" s="7"/>
      <c r="H474" s="53"/>
      <c r="R474" s="53"/>
      <c r="T474" s="53"/>
      <c r="U474" s="53"/>
      <c r="V474" s="53"/>
      <c r="W474" s="53"/>
      <c r="X474" s="53"/>
      <c r="AP474" s="54"/>
    </row>
    <row r="475" spans="1:42" ht="18" customHeight="1" x14ac:dyDescent="0.3">
      <c r="A475" s="7"/>
      <c r="H475" s="53"/>
      <c r="R475" s="53"/>
      <c r="T475" s="53"/>
      <c r="U475" s="53"/>
      <c r="V475" s="53"/>
      <c r="W475" s="53"/>
      <c r="X475" s="53"/>
      <c r="AP475" s="54"/>
    </row>
    <row r="476" spans="1:42" ht="18" customHeight="1" x14ac:dyDescent="0.3">
      <c r="A476" s="7"/>
      <c r="H476" s="53"/>
      <c r="R476" s="53"/>
      <c r="T476" s="53"/>
      <c r="U476" s="53"/>
      <c r="V476" s="53"/>
      <c r="W476" s="53"/>
      <c r="X476" s="53"/>
      <c r="AP476" s="54"/>
    </row>
    <row r="477" spans="1:42" ht="18" customHeight="1" x14ac:dyDescent="0.3">
      <c r="A477" s="7"/>
      <c r="H477" s="53"/>
      <c r="R477" s="53"/>
      <c r="T477" s="53"/>
      <c r="U477" s="53"/>
      <c r="V477" s="53"/>
      <c r="W477" s="53"/>
      <c r="X477" s="53"/>
      <c r="AP477" s="54"/>
    </row>
    <row r="478" spans="1:42" ht="18" customHeight="1" x14ac:dyDescent="0.3">
      <c r="A478" s="7"/>
      <c r="H478" s="53"/>
      <c r="R478" s="53"/>
      <c r="T478" s="53"/>
      <c r="U478" s="53"/>
      <c r="V478" s="53"/>
      <c r="W478" s="53"/>
      <c r="X478" s="53"/>
      <c r="AP478" s="54"/>
    </row>
    <row r="479" spans="1:42" ht="18" customHeight="1" x14ac:dyDescent="0.3">
      <c r="A479" s="7"/>
      <c r="H479" s="53"/>
      <c r="R479" s="53"/>
      <c r="T479" s="53"/>
      <c r="U479" s="53"/>
      <c r="V479" s="53"/>
      <c r="W479" s="53"/>
      <c r="X479" s="53"/>
      <c r="AP479" s="54"/>
    </row>
    <row r="480" spans="1:42" ht="18" customHeight="1" x14ac:dyDescent="0.3">
      <c r="A480" s="7"/>
      <c r="H480" s="53"/>
      <c r="R480" s="53"/>
      <c r="T480" s="53"/>
      <c r="U480" s="53"/>
      <c r="V480" s="53"/>
      <c r="W480" s="53"/>
      <c r="X480" s="53"/>
      <c r="AP480" s="54"/>
    </row>
    <row r="481" spans="1:42" ht="18" customHeight="1" x14ac:dyDescent="0.3">
      <c r="A481" s="7"/>
      <c r="H481" s="53"/>
      <c r="R481" s="53"/>
      <c r="T481" s="53"/>
      <c r="U481" s="53"/>
      <c r="V481" s="53"/>
      <c r="W481" s="53"/>
      <c r="X481" s="53"/>
      <c r="AP481" s="54"/>
    </row>
    <row r="482" spans="1:42" ht="18" customHeight="1" x14ac:dyDescent="0.3">
      <c r="A482" s="7"/>
      <c r="H482" s="53"/>
      <c r="R482" s="53"/>
      <c r="T482" s="53"/>
      <c r="U482" s="53"/>
      <c r="V482" s="53"/>
      <c r="W482" s="53"/>
      <c r="X482" s="53"/>
      <c r="AP482" s="54"/>
    </row>
    <row r="483" spans="1:42" ht="18" customHeight="1" x14ac:dyDescent="0.3">
      <c r="A483" s="7"/>
      <c r="H483" s="53"/>
      <c r="R483" s="53"/>
      <c r="T483" s="53"/>
      <c r="U483" s="53"/>
      <c r="V483" s="53"/>
      <c r="W483" s="53"/>
      <c r="X483" s="53"/>
      <c r="AP483" s="54"/>
    </row>
    <row r="484" spans="1:42" ht="18" customHeight="1" x14ac:dyDescent="0.3">
      <c r="A484" s="7"/>
      <c r="H484" s="53"/>
      <c r="R484" s="53"/>
      <c r="T484" s="53"/>
      <c r="U484" s="53"/>
      <c r="V484" s="53"/>
      <c r="W484" s="53"/>
      <c r="X484" s="53"/>
      <c r="AP484" s="54"/>
    </row>
    <row r="485" spans="1:42" ht="18" customHeight="1" x14ac:dyDescent="0.3">
      <c r="A485" s="7"/>
      <c r="H485" s="53"/>
      <c r="R485" s="53"/>
      <c r="T485" s="53"/>
      <c r="U485" s="53"/>
      <c r="V485" s="53"/>
      <c r="W485" s="53"/>
      <c r="X485" s="53"/>
      <c r="AP485" s="54"/>
    </row>
    <row r="486" spans="1:42" ht="18" customHeight="1" x14ac:dyDescent="0.3">
      <c r="A486" s="7"/>
      <c r="H486" s="53"/>
      <c r="R486" s="53"/>
      <c r="T486" s="53"/>
      <c r="U486" s="53"/>
      <c r="V486" s="53"/>
      <c r="W486" s="53"/>
      <c r="X486" s="53"/>
      <c r="AP486" s="54"/>
    </row>
    <row r="487" spans="1:42" ht="18" customHeight="1" x14ac:dyDescent="0.3">
      <c r="A487" s="7"/>
      <c r="H487" s="53"/>
      <c r="R487" s="53"/>
      <c r="T487" s="53"/>
      <c r="U487" s="53"/>
      <c r="V487" s="53"/>
      <c r="W487" s="53"/>
      <c r="X487" s="53"/>
      <c r="AP487" s="54"/>
    </row>
    <row r="488" spans="1:42" ht="18" customHeight="1" x14ac:dyDescent="0.3">
      <c r="A488" s="7"/>
      <c r="H488" s="53"/>
      <c r="R488" s="53"/>
      <c r="T488" s="53"/>
      <c r="U488" s="53"/>
      <c r="V488" s="53"/>
      <c r="W488" s="53"/>
      <c r="X488" s="53"/>
      <c r="AP488" s="54"/>
    </row>
    <row r="489" spans="1:42" ht="18" customHeight="1" x14ac:dyDescent="0.3">
      <c r="A489" s="7"/>
      <c r="H489" s="53"/>
      <c r="R489" s="53"/>
      <c r="T489" s="53"/>
      <c r="U489" s="53"/>
      <c r="V489" s="53"/>
      <c r="W489" s="53"/>
      <c r="X489" s="53"/>
      <c r="AP489" s="54"/>
    </row>
    <row r="490" spans="1:42" ht="18" customHeight="1" x14ac:dyDescent="0.3">
      <c r="A490" s="7"/>
      <c r="H490" s="53"/>
      <c r="R490" s="53"/>
      <c r="T490" s="53"/>
      <c r="U490" s="53"/>
      <c r="V490" s="53"/>
      <c r="W490" s="53"/>
      <c r="X490" s="53"/>
      <c r="AP490" s="54"/>
    </row>
    <row r="491" spans="1:42" ht="18" customHeight="1" x14ac:dyDescent="0.3">
      <c r="A491" s="7"/>
      <c r="H491" s="53"/>
      <c r="R491" s="53"/>
      <c r="T491" s="53"/>
      <c r="U491" s="53"/>
      <c r="V491" s="53"/>
      <c r="W491" s="53"/>
      <c r="X491" s="53"/>
      <c r="AP491" s="54"/>
    </row>
    <row r="492" spans="1:42" ht="18" customHeight="1" x14ac:dyDescent="0.3">
      <c r="A492" s="7"/>
      <c r="H492" s="53"/>
      <c r="R492" s="53"/>
      <c r="T492" s="53"/>
      <c r="U492" s="53"/>
      <c r="V492" s="53"/>
      <c r="W492" s="53"/>
      <c r="X492" s="53"/>
      <c r="AP492" s="54"/>
    </row>
    <row r="493" spans="1:42" ht="18" customHeight="1" x14ac:dyDescent="0.3">
      <c r="A493" s="7"/>
      <c r="H493" s="53"/>
      <c r="R493" s="53"/>
      <c r="T493" s="53"/>
      <c r="U493" s="53"/>
      <c r="V493" s="53"/>
      <c r="W493" s="53"/>
      <c r="X493" s="53"/>
      <c r="AP493" s="54"/>
    </row>
    <row r="494" spans="1:42" ht="18" customHeight="1" x14ac:dyDescent="0.3">
      <c r="A494" s="7"/>
      <c r="H494" s="53"/>
      <c r="R494" s="53"/>
      <c r="T494" s="53"/>
      <c r="U494" s="53"/>
      <c r="V494" s="53"/>
      <c r="W494" s="53"/>
      <c r="X494" s="53"/>
      <c r="AP494" s="54"/>
    </row>
    <row r="495" spans="1:42" ht="18" customHeight="1" x14ac:dyDescent="0.3">
      <c r="A495" s="7"/>
      <c r="H495" s="53"/>
      <c r="R495" s="53"/>
      <c r="T495" s="53"/>
      <c r="U495" s="53"/>
      <c r="V495" s="53"/>
      <c r="W495" s="53"/>
      <c r="X495" s="53"/>
      <c r="AP495" s="54"/>
    </row>
    <row r="496" spans="1:42" ht="18" customHeight="1" x14ac:dyDescent="0.3">
      <c r="A496" s="7"/>
      <c r="H496" s="53"/>
      <c r="R496" s="53"/>
      <c r="T496" s="53"/>
      <c r="U496" s="53"/>
      <c r="V496" s="53"/>
      <c r="W496" s="53"/>
      <c r="X496" s="53"/>
      <c r="AP496" s="54"/>
    </row>
    <row r="497" spans="1:42" ht="18" customHeight="1" x14ac:dyDescent="0.3">
      <c r="A497" s="7"/>
      <c r="H497" s="53"/>
      <c r="R497" s="53"/>
      <c r="T497" s="53"/>
      <c r="U497" s="53"/>
      <c r="V497" s="53"/>
      <c r="W497" s="53"/>
      <c r="X497" s="53"/>
      <c r="AP497" s="54"/>
    </row>
    <row r="498" spans="1:42" ht="18" customHeight="1" x14ac:dyDescent="0.3">
      <c r="A498" s="7"/>
      <c r="H498" s="53"/>
      <c r="R498" s="53"/>
      <c r="T498" s="53"/>
      <c r="U498" s="53"/>
      <c r="V498" s="53"/>
      <c r="W498" s="53"/>
      <c r="X498" s="53"/>
      <c r="AP498" s="54"/>
    </row>
    <row r="499" spans="1:42" ht="18" customHeight="1" x14ac:dyDescent="0.3">
      <c r="A499" s="7"/>
      <c r="H499" s="53"/>
      <c r="R499" s="53"/>
      <c r="T499" s="53"/>
      <c r="U499" s="53"/>
      <c r="V499" s="53"/>
      <c r="W499" s="53"/>
      <c r="X499" s="53"/>
      <c r="AP499" s="54"/>
    </row>
    <row r="500" spans="1:42" ht="18" customHeight="1" x14ac:dyDescent="0.3">
      <c r="A500" s="7"/>
      <c r="H500" s="53"/>
      <c r="R500" s="53"/>
      <c r="T500" s="53"/>
      <c r="U500" s="53"/>
      <c r="V500" s="53"/>
      <c r="W500" s="53"/>
      <c r="X500" s="53"/>
      <c r="AP500" s="54"/>
    </row>
    <row r="501" spans="1:42" ht="18" customHeight="1" x14ac:dyDescent="0.3">
      <c r="A501" s="7"/>
      <c r="H501" s="53"/>
      <c r="R501" s="53"/>
      <c r="T501" s="53"/>
      <c r="U501" s="53"/>
      <c r="V501" s="53"/>
      <c r="W501" s="53"/>
      <c r="X501" s="53"/>
      <c r="AP501" s="54"/>
    </row>
    <row r="502" spans="1:42" ht="18" customHeight="1" x14ac:dyDescent="0.3">
      <c r="A502" s="7"/>
      <c r="H502" s="53"/>
      <c r="R502" s="53"/>
      <c r="T502" s="53"/>
      <c r="U502" s="53"/>
      <c r="V502" s="53"/>
      <c r="W502" s="53"/>
      <c r="X502" s="53"/>
      <c r="AP502" s="54"/>
    </row>
    <row r="503" spans="1:42" ht="18" customHeight="1" x14ac:dyDescent="0.3">
      <c r="A503" s="7"/>
      <c r="H503" s="53"/>
      <c r="R503" s="53"/>
      <c r="T503" s="53"/>
      <c r="U503" s="53"/>
      <c r="V503" s="53"/>
      <c r="W503" s="53"/>
      <c r="X503" s="53"/>
      <c r="AP503" s="54"/>
    </row>
    <row r="504" spans="1:42" ht="18" customHeight="1" x14ac:dyDescent="0.3">
      <c r="A504" s="7"/>
      <c r="H504" s="53"/>
      <c r="R504" s="53"/>
      <c r="T504" s="53"/>
      <c r="U504" s="53"/>
      <c r="V504" s="53"/>
      <c r="W504" s="53"/>
      <c r="X504" s="53"/>
      <c r="AP504" s="54"/>
    </row>
    <row r="505" spans="1:42" ht="18" customHeight="1" x14ac:dyDescent="0.3">
      <c r="A505" s="7"/>
      <c r="H505" s="53"/>
      <c r="R505" s="53"/>
      <c r="T505" s="53"/>
      <c r="U505" s="53"/>
      <c r="V505" s="53"/>
      <c r="W505" s="53"/>
      <c r="X505" s="53"/>
      <c r="AP505" s="54"/>
    </row>
    <row r="506" spans="1:42" ht="18" customHeight="1" x14ac:dyDescent="0.3">
      <c r="A506" s="7"/>
      <c r="H506" s="53"/>
      <c r="R506" s="53"/>
      <c r="T506" s="53"/>
      <c r="U506" s="53"/>
      <c r="V506" s="53"/>
      <c r="W506" s="53"/>
      <c r="X506" s="53"/>
      <c r="AP506" s="54"/>
    </row>
    <row r="507" spans="1:42" ht="18" customHeight="1" x14ac:dyDescent="0.3">
      <c r="A507" s="7"/>
      <c r="H507" s="53"/>
      <c r="R507" s="53"/>
      <c r="T507" s="53"/>
      <c r="U507" s="53"/>
      <c r="V507" s="53"/>
      <c r="W507" s="53"/>
      <c r="X507" s="53"/>
      <c r="AP507" s="54"/>
    </row>
    <row r="508" spans="1:42" ht="18" customHeight="1" x14ac:dyDescent="0.3">
      <c r="A508" s="7"/>
      <c r="H508" s="53"/>
      <c r="R508" s="53"/>
      <c r="T508" s="53"/>
      <c r="U508" s="53"/>
      <c r="V508" s="53"/>
      <c r="W508" s="53"/>
      <c r="X508" s="53"/>
      <c r="AP508" s="54"/>
    </row>
    <row r="509" spans="1:42" ht="18" customHeight="1" x14ac:dyDescent="0.3">
      <c r="A509" s="7"/>
      <c r="H509" s="53"/>
      <c r="R509" s="53"/>
      <c r="T509" s="53"/>
      <c r="U509" s="53"/>
      <c r="V509" s="53"/>
      <c r="W509" s="53"/>
      <c r="X509" s="53"/>
      <c r="AP509" s="54"/>
    </row>
    <row r="510" spans="1:42" ht="18" customHeight="1" x14ac:dyDescent="0.3">
      <c r="A510" s="7"/>
      <c r="H510" s="53"/>
      <c r="R510" s="53"/>
      <c r="T510" s="53"/>
      <c r="U510" s="53"/>
      <c r="V510" s="53"/>
      <c r="W510" s="53"/>
      <c r="X510" s="53"/>
      <c r="AP510" s="54"/>
    </row>
    <row r="511" spans="1:42" ht="18" customHeight="1" x14ac:dyDescent="0.3">
      <c r="A511" s="7"/>
      <c r="H511" s="53"/>
      <c r="R511" s="53"/>
      <c r="T511" s="53"/>
      <c r="U511" s="53"/>
      <c r="V511" s="53"/>
      <c r="W511" s="53"/>
      <c r="X511" s="53"/>
      <c r="AP511" s="54"/>
    </row>
    <row r="512" spans="1:42" ht="18" customHeight="1" x14ac:dyDescent="0.3">
      <c r="A512" s="7"/>
      <c r="H512" s="53"/>
      <c r="R512" s="53"/>
      <c r="T512" s="53"/>
      <c r="U512" s="53"/>
      <c r="V512" s="53"/>
      <c r="W512" s="53"/>
      <c r="X512" s="53"/>
      <c r="AP512" s="54"/>
    </row>
    <row r="513" spans="1:42" ht="18" customHeight="1" x14ac:dyDescent="0.3">
      <c r="A513" s="7"/>
      <c r="H513" s="53"/>
      <c r="R513" s="53"/>
      <c r="T513" s="53"/>
      <c r="U513" s="53"/>
      <c r="V513" s="53"/>
      <c r="W513" s="53"/>
      <c r="X513" s="53"/>
      <c r="AP513" s="54"/>
    </row>
    <row r="514" spans="1:42" ht="18" customHeight="1" x14ac:dyDescent="0.3">
      <c r="A514" s="7"/>
      <c r="H514" s="53"/>
      <c r="R514" s="53"/>
      <c r="T514" s="53"/>
      <c r="U514" s="53"/>
      <c r="V514" s="53"/>
      <c r="W514" s="53"/>
      <c r="X514" s="53"/>
      <c r="AP514" s="54"/>
    </row>
    <row r="515" spans="1:42" ht="18" customHeight="1" x14ac:dyDescent="0.3">
      <c r="A515" s="7"/>
      <c r="H515" s="53"/>
      <c r="R515" s="53"/>
      <c r="T515" s="53"/>
      <c r="U515" s="53"/>
      <c r="V515" s="53"/>
      <c r="W515" s="53"/>
      <c r="X515" s="53"/>
      <c r="AP515" s="54"/>
    </row>
    <row r="516" spans="1:42" ht="18" customHeight="1" x14ac:dyDescent="0.3">
      <c r="A516" s="7"/>
      <c r="H516" s="53"/>
      <c r="R516" s="53"/>
      <c r="T516" s="53"/>
      <c r="U516" s="53"/>
      <c r="V516" s="53"/>
      <c r="W516" s="53"/>
      <c r="X516" s="53"/>
      <c r="AP516" s="54"/>
    </row>
    <row r="517" spans="1:42" ht="18" customHeight="1" x14ac:dyDescent="0.3">
      <c r="A517" s="7"/>
      <c r="H517" s="53"/>
      <c r="R517" s="53"/>
      <c r="T517" s="53"/>
      <c r="U517" s="53"/>
      <c r="V517" s="53"/>
      <c r="W517" s="53"/>
      <c r="X517" s="53"/>
      <c r="AP517" s="54"/>
    </row>
    <row r="518" spans="1:42" ht="18" customHeight="1" x14ac:dyDescent="0.3">
      <c r="A518" s="7"/>
      <c r="H518" s="53"/>
      <c r="R518" s="53"/>
      <c r="T518" s="53"/>
      <c r="U518" s="53"/>
      <c r="V518" s="53"/>
      <c r="W518" s="53"/>
      <c r="X518" s="53"/>
      <c r="AP518" s="54"/>
    </row>
    <row r="519" spans="1:42" ht="18" customHeight="1" x14ac:dyDescent="0.3">
      <c r="A519" s="7"/>
      <c r="H519" s="53"/>
      <c r="R519" s="53"/>
      <c r="T519" s="53"/>
      <c r="U519" s="53"/>
      <c r="V519" s="53"/>
      <c r="W519" s="53"/>
      <c r="X519" s="53"/>
      <c r="AP519" s="54"/>
    </row>
    <row r="520" spans="1:42" ht="18" customHeight="1" x14ac:dyDescent="0.3">
      <c r="A520" s="7"/>
      <c r="H520" s="53"/>
      <c r="R520" s="53"/>
      <c r="T520" s="53"/>
      <c r="U520" s="53"/>
      <c r="V520" s="53"/>
      <c r="W520" s="53"/>
      <c r="X520" s="53"/>
      <c r="AP520" s="54"/>
    </row>
    <row r="521" spans="1:42" ht="18" customHeight="1" x14ac:dyDescent="0.3">
      <c r="A521" s="7"/>
      <c r="H521" s="53"/>
      <c r="R521" s="53"/>
      <c r="T521" s="53"/>
      <c r="U521" s="53"/>
      <c r="V521" s="53"/>
      <c r="W521" s="53"/>
      <c r="X521" s="53"/>
      <c r="AP521" s="54"/>
    </row>
    <row r="522" spans="1:42" ht="18" customHeight="1" x14ac:dyDescent="0.3">
      <c r="A522" s="7"/>
      <c r="H522" s="53"/>
      <c r="R522" s="53"/>
      <c r="T522" s="53"/>
      <c r="U522" s="53"/>
      <c r="V522" s="53"/>
      <c r="W522" s="53"/>
      <c r="X522" s="53"/>
      <c r="AP522" s="54"/>
    </row>
    <row r="523" spans="1:42" ht="18" customHeight="1" x14ac:dyDescent="0.3">
      <c r="A523" s="7"/>
      <c r="H523" s="53"/>
      <c r="R523" s="53"/>
      <c r="T523" s="53"/>
      <c r="U523" s="53"/>
      <c r="V523" s="53"/>
      <c r="W523" s="53"/>
      <c r="X523" s="53"/>
      <c r="AP523" s="54"/>
    </row>
    <row r="524" spans="1:42" ht="18" customHeight="1" x14ac:dyDescent="0.3">
      <c r="A524" s="7"/>
      <c r="H524" s="53"/>
      <c r="R524" s="53"/>
      <c r="T524" s="53"/>
      <c r="U524" s="53"/>
      <c r="V524" s="53"/>
      <c r="W524" s="53"/>
      <c r="X524" s="53"/>
      <c r="AP524" s="54"/>
    </row>
    <row r="525" spans="1:42" ht="18" customHeight="1" x14ac:dyDescent="0.3">
      <c r="A525" s="7"/>
      <c r="H525" s="53"/>
      <c r="R525" s="53"/>
      <c r="T525" s="53"/>
      <c r="U525" s="53"/>
      <c r="V525" s="53"/>
      <c r="W525" s="53"/>
      <c r="X525" s="53"/>
      <c r="AP525" s="54"/>
    </row>
    <row r="526" spans="1:42" ht="18" customHeight="1" x14ac:dyDescent="0.3">
      <c r="A526" s="7"/>
      <c r="H526" s="53"/>
      <c r="R526" s="53"/>
      <c r="T526" s="53"/>
      <c r="U526" s="53"/>
      <c r="V526" s="53"/>
      <c r="W526" s="53"/>
      <c r="X526" s="53"/>
      <c r="AP526" s="54"/>
    </row>
    <row r="527" spans="1:42" ht="18" customHeight="1" x14ac:dyDescent="0.3">
      <c r="A527" s="7"/>
      <c r="H527" s="53"/>
      <c r="R527" s="53"/>
      <c r="T527" s="53"/>
      <c r="U527" s="53"/>
      <c r="V527" s="53"/>
      <c r="W527" s="53"/>
      <c r="X527" s="53"/>
      <c r="AP527" s="54"/>
    </row>
    <row r="528" spans="1:42" ht="18" customHeight="1" x14ac:dyDescent="0.3">
      <c r="A528" s="7"/>
      <c r="H528" s="53"/>
      <c r="R528" s="53"/>
      <c r="T528" s="53"/>
      <c r="U528" s="53"/>
      <c r="V528" s="53"/>
      <c r="W528" s="53"/>
      <c r="X528" s="53"/>
      <c r="AP528" s="54"/>
    </row>
    <row r="529" spans="1:42" ht="18" customHeight="1" x14ac:dyDescent="0.3">
      <c r="A529" s="7"/>
      <c r="H529" s="53"/>
      <c r="R529" s="53"/>
      <c r="T529" s="53"/>
      <c r="U529" s="53"/>
      <c r="V529" s="53"/>
      <c r="W529" s="53"/>
      <c r="X529" s="53"/>
      <c r="AP529" s="54"/>
    </row>
    <row r="530" spans="1:42" ht="18" customHeight="1" x14ac:dyDescent="0.3">
      <c r="A530" s="7"/>
      <c r="H530" s="53"/>
      <c r="R530" s="53"/>
      <c r="T530" s="53"/>
      <c r="U530" s="53"/>
      <c r="V530" s="53"/>
      <c r="W530" s="53"/>
      <c r="X530" s="53"/>
      <c r="AP530" s="54"/>
    </row>
    <row r="531" spans="1:42" ht="18" customHeight="1" x14ac:dyDescent="0.3">
      <c r="A531" s="7"/>
      <c r="H531" s="53"/>
      <c r="R531" s="53"/>
      <c r="T531" s="53"/>
      <c r="U531" s="53"/>
      <c r="V531" s="53"/>
      <c r="W531" s="53"/>
      <c r="X531" s="53"/>
      <c r="AP531" s="54"/>
    </row>
    <row r="532" spans="1:42" ht="18" customHeight="1" x14ac:dyDescent="0.3">
      <c r="A532" s="7"/>
      <c r="H532" s="53"/>
      <c r="R532" s="53"/>
      <c r="T532" s="53"/>
      <c r="U532" s="53"/>
      <c r="V532" s="53"/>
      <c r="W532" s="53"/>
      <c r="X532" s="53"/>
      <c r="AP532" s="54"/>
    </row>
    <row r="533" spans="1:42" ht="18" customHeight="1" x14ac:dyDescent="0.3">
      <c r="A533" s="7"/>
      <c r="H533" s="53"/>
      <c r="R533" s="53"/>
      <c r="T533" s="53"/>
      <c r="U533" s="53"/>
      <c r="V533" s="53"/>
      <c r="W533" s="53"/>
      <c r="X533" s="53"/>
      <c r="AP533" s="54"/>
    </row>
    <row r="534" spans="1:42" ht="18" customHeight="1" x14ac:dyDescent="0.3">
      <c r="A534" s="7"/>
      <c r="H534" s="53"/>
      <c r="R534" s="53"/>
      <c r="T534" s="53"/>
      <c r="U534" s="53"/>
      <c r="V534" s="53"/>
      <c r="W534" s="53"/>
      <c r="X534" s="53"/>
      <c r="AP534" s="54"/>
    </row>
    <row r="535" spans="1:42" ht="18" customHeight="1" x14ac:dyDescent="0.3">
      <c r="A535" s="7"/>
      <c r="H535" s="53"/>
      <c r="R535" s="53"/>
      <c r="T535" s="53"/>
      <c r="U535" s="53"/>
      <c r="V535" s="53"/>
      <c r="W535" s="53"/>
      <c r="X535" s="53"/>
      <c r="AP535" s="54"/>
    </row>
    <row r="536" spans="1:42" ht="18" customHeight="1" x14ac:dyDescent="0.3">
      <c r="A536" s="7"/>
      <c r="H536" s="53"/>
      <c r="R536" s="53"/>
      <c r="T536" s="53"/>
      <c r="U536" s="53"/>
      <c r="V536" s="53"/>
      <c r="W536" s="53"/>
      <c r="X536" s="53"/>
      <c r="AP536" s="54"/>
    </row>
    <row r="537" spans="1:42" ht="18" customHeight="1" x14ac:dyDescent="0.3">
      <c r="A537" s="7"/>
      <c r="H537" s="53"/>
      <c r="R537" s="53"/>
      <c r="T537" s="53"/>
      <c r="U537" s="53"/>
      <c r="V537" s="53"/>
      <c r="W537" s="53"/>
      <c r="X537" s="53"/>
      <c r="AP537" s="54"/>
    </row>
    <row r="538" spans="1:42" ht="18" customHeight="1" x14ac:dyDescent="0.3">
      <c r="A538" s="7"/>
      <c r="H538" s="53"/>
      <c r="R538" s="53"/>
      <c r="T538" s="53"/>
      <c r="U538" s="53"/>
      <c r="V538" s="53"/>
      <c r="W538" s="53"/>
      <c r="X538" s="53"/>
      <c r="AP538" s="54"/>
    </row>
    <row r="539" spans="1:42" ht="18" customHeight="1" x14ac:dyDescent="0.3">
      <c r="A539" s="7"/>
      <c r="H539" s="53"/>
      <c r="R539" s="53"/>
      <c r="T539" s="53"/>
      <c r="U539" s="53"/>
      <c r="V539" s="53"/>
      <c r="W539" s="53"/>
      <c r="X539" s="53"/>
      <c r="AP539" s="54"/>
    </row>
    <row r="540" spans="1:42" ht="18" customHeight="1" x14ac:dyDescent="0.3">
      <c r="A540" s="7"/>
      <c r="H540" s="53"/>
      <c r="R540" s="53"/>
      <c r="T540" s="53"/>
      <c r="U540" s="53"/>
      <c r="V540" s="53"/>
      <c r="W540" s="53"/>
      <c r="X540" s="53"/>
      <c r="AP540" s="54"/>
    </row>
    <row r="541" spans="1:42" ht="18" customHeight="1" x14ac:dyDescent="0.3">
      <c r="A541" s="7"/>
      <c r="H541" s="53"/>
      <c r="R541" s="53"/>
      <c r="T541" s="53"/>
      <c r="U541" s="53"/>
      <c r="V541" s="53"/>
      <c r="W541" s="53"/>
      <c r="X541" s="53"/>
      <c r="AP541" s="54"/>
    </row>
    <row r="542" spans="1:42" ht="18" customHeight="1" x14ac:dyDescent="0.3">
      <c r="A542" s="7"/>
      <c r="H542" s="53"/>
      <c r="R542" s="53"/>
      <c r="T542" s="53"/>
      <c r="U542" s="53"/>
      <c r="V542" s="53"/>
      <c r="W542" s="53"/>
      <c r="X542" s="53"/>
      <c r="AP542" s="54"/>
    </row>
    <row r="543" spans="1:42" ht="18" customHeight="1" x14ac:dyDescent="0.3">
      <c r="A543" s="7"/>
      <c r="H543" s="53"/>
      <c r="R543" s="53"/>
      <c r="T543" s="53"/>
      <c r="U543" s="53"/>
      <c r="V543" s="53"/>
      <c r="W543" s="53"/>
      <c r="X543" s="53"/>
      <c r="AP543" s="54"/>
    </row>
    <row r="544" spans="1:42" ht="18" customHeight="1" x14ac:dyDescent="0.3">
      <c r="A544" s="7"/>
      <c r="H544" s="53"/>
      <c r="R544" s="53"/>
      <c r="T544" s="53"/>
      <c r="U544" s="53"/>
      <c r="V544" s="53"/>
      <c r="W544" s="53"/>
      <c r="X544" s="53"/>
      <c r="AP544" s="54"/>
    </row>
    <row r="545" spans="1:42" ht="18" customHeight="1" x14ac:dyDescent="0.3">
      <c r="A545" s="7"/>
      <c r="H545" s="53"/>
      <c r="R545" s="53"/>
      <c r="T545" s="53"/>
      <c r="U545" s="53"/>
      <c r="V545" s="53"/>
      <c r="W545" s="53"/>
      <c r="X545" s="53"/>
      <c r="AP545" s="54"/>
    </row>
    <row r="546" spans="1:42" ht="18" customHeight="1" x14ac:dyDescent="0.3">
      <c r="A546" s="7"/>
      <c r="H546" s="53"/>
      <c r="R546" s="53"/>
      <c r="T546" s="53"/>
      <c r="U546" s="53"/>
      <c r="V546" s="53"/>
      <c r="W546" s="53"/>
      <c r="X546" s="53"/>
      <c r="AP546" s="54"/>
    </row>
    <row r="547" spans="1:42" ht="18" customHeight="1" x14ac:dyDescent="0.3">
      <c r="A547" s="7"/>
      <c r="H547" s="53"/>
      <c r="R547" s="53"/>
      <c r="T547" s="53"/>
      <c r="U547" s="53"/>
      <c r="V547" s="53"/>
      <c r="W547" s="53"/>
      <c r="X547" s="53"/>
      <c r="AP547" s="54"/>
    </row>
    <row r="548" spans="1:42" ht="18" customHeight="1" x14ac:dyDescent="0.3">
      <c r="A548" s="7"/>
      <c r="H548" s="53"/>
      <c r="R548" s="53"/>
      <c r="T548" s="53"/>
      <c r="U548" s="53"/>
      <c r="V548" s="53"/>
      <c r="W548" s="53"/>
      <c r="X548" s="53"/>
      <c r="AP548" s="54"/>
    </row>
    <row r="549" spans="1:42" ht="18" customHeight="1" x14ac:dyDescent="0.3">
      <c r="A549" s="7"/>
      <c r="H549" s="53"/>
      <c r="R549" s="53"/>
      <c r="T549" s="53"/>
      <c r="U549" s="53"/>
      <c r="V549" s="53"/>
      <c r="W549" s="53"/>
      <c r="X549" s="53"/>
      <c r="AP549" s="54"/>
    </row>
    <row r="550" spans="1:42" ht="18" customHeight="1" x14ac:dyDescent="0.3">
      <c r="A550" s="7"/>
      <c r="H550" s="53"/>
      <c r="R550" s="53"/>
      <c r="T550" s="53"/>
      <c r="U550" s="53"/>
      <c r="V550" s="53"/>
      <c r="W550" s="53"/>
      <c r="X550" s="53"/>
      <c r="AP550" s="54"/>
    </row>
    <row r="551" spans="1:42" ht="18" customHeight="1" x14ac:dyDescent="0.3">
      <c r="A551" s="7"/>
      <c r="H551" s="53"/>
      <c r="R551" s="53"/>
      <c r="T551" s="53"/>
      <c r="U551" s="53"/>
      <c r="V551" s="53"/>
      <c r="W551" s="53"/>
      <c r="X551" s="53"/>
      <c r="AP551" s="54"/>
    </row>
    <row r="552" spans="1:42" ht="18" customHeight="1" x14ac:dyDescent="0.3">
      <c r="A552" s="7"/>
      <c r="H552" s="53"/>
      <c r="R552" s="53"/>
      <c r="T552" s="53"/>
      <c r="U552" s="53"/>
      <c r="V552" s="53"/>
      <c r="W552" s="53"/>
      <c r="X552" s="53"/>
      <c r="AP552" s="54"/>
    </row>
    <row r="553" spans="1:42" ht="18" customHeight="1" x14ac:dyDescent="0.3">
      <c r="A553" s="7"/>
      <c r="H553" s="53"/>
      <c r="R553" s="53"/>
      <c r="T553" s="53"/>
      <c r="U553" s="53"/>
      <c r="V553" s="53"/>
      <c r="W553" s="53"/>
      <c r="X553" s="53"/>
      <c r="AP553" s="54"/>
    </row>
    <row r="554" spans="1:42" ht="18" customHeight="1" x14ac:dyDescent="0.3">
      <c r="A554" s="7"/>
      <c r="H554" s="53"/>
      <c r="R554" s="53"/>
      <c r="T554" s="53"/>
      <c r="U554" s="53"/>
      <c r="V554" s="53"/>
      <c r="W554" s="53"/>
      <c r="X554" s="53"/>
      <c r="AP554" s="54"/>
    </row>
    <row r="555" spans="1:42" ht="18" customHeight="1" x14ac:dyDescent="0.3">
      <c r="A555" s="7"/>
      <c r="H555" s="53"/>
      <c r="R555" s="53"/>
      <c r="T555" s="53"/>
      <c r="U555" s="53"/>
      <c r="V555" s="53"/>
      <c r="W555" s="53"/>
      <c r="X555" s="53"/>
      <c r="AP555" s="54"/>
    </row>
    <row r="556" spans="1:42" ht="18" customHeight="1" x14ac:dyDescent="0.3">
      <c r="A556" s="7"/>
      <c r="H556" s="53"/>
      <c r="R556" s="53"/>
      <c r="T556" s="53"/>
      <c r="U556" s="53"/>
      <c r="V556" s="53"/>
      <c r="W556" s="53"/>
      <c r="X556" s="53"/>
      <c r="AP556" s="54"/>
    </row>
    <row r="557" spans="1:42" ht="18" customHeight="1" x14ac:dyDescent="0.3">
      <c r="A557" s="7"/>
      <c r="H557" s="53"/>
      <c r="R557" s="53"/>
      <c r="T557" s="53"/>
      <c r="U557" s="53"/>
      <c r="V557" s="53"/>
      <c r="W557" s="53"/>
      <c r="X557" s="53"/>
      <c r="AP557" s="54"/>
    </row>
    <row r="558" spans="1:42" ht="18" customHeight="1" x14ac:dyDescent="0.3">
      <c r="A558" s="7"/>
      <c r="H558" s="53"/>
      <c r="R558" s="53"/>
      <c r="T558" s="53"/>
      <c r="U558" s="53"/>
      <c r="V558" s="53"/>
      <c r="W558" s="53"/>
      <c r="X558" s="53"/>
      <c r="AP558" s="54"/>
    </row>
    <row r="559" spans="1:42" ht="18" customHeight="1" x14ac:dyDescent="0.3">
      <c r="A559" s="7"/>
      <c r="H559" s="53"/>
      <c r="R559" s="53"/>
      <c r="T559" s="53"/>
      <c r="U559" s="53"/>
      <c r="V559" s="53"/>
      <c r="W559" s="53"/>
      <c r="X559" s="53"/>
      <c r="AP559" s="54"/>
    </row>
    <row r="560" spans="1:42" ht="18" customHeight="1" x14ac:dyDescent="0.3">
      <c r="A560" s="7"/>
      <c r="H560" s="53"/>
      <c r="R560" s="53"/>
      <c r="T560" s="53"/>
      <c r="U560" s="53"/>
      <c r="V560" s="53"/>
      <c r="W560" s="53"/>
      <c r="X560" s="53"/>
      <c r="AP560" s="54"/>
    </row>
    <row r="561" spans="1:42" ht="18" customHeight="1" x14ac:dyDescent="0.3">
      <c r="A561" s="7"/>
      <c r="H561" s="53"/>
      <c r="R561" s="53"/>
      <c r="T561" s="53"/>
      <c r="U561" s="53"/>
      <c r="V561" s="53"/>
      <c r="W561" s="53"/>
      <c r="X561" s="53"/>
      <c r="AP561" s="54"/>
    </row>
    <row r="562" spans="1:42" ht="18" customHeight="1" x14ac:dyDescent="0.3">
      <c r="A562" s="7"/>
      <c r="H562" s="53"/>
      <c r="R562" s="53"/>
      <c r="T562" s="53"/>
      <c r="U562" s="53"/>
      <c r="V562" s="53"/>
      <c r="W562" s="53"/>
      <c r="X562" s="53"/>
      <c r="AP562" s="54"/>
    </row>
    <row r="563" spans="1:42" ht="18" customHeight="1" x14ac:dyDescent="0.3">
      <c r="A563" s="7"/>
      <c r="H563" s="53"/>
      <c r="R563" s="53"/>
      <c r="T563" s="53"/>
      <c r="U563" s="53"/>
      <c r="V563" s="53"/>
      <c r="W563" s="53"/>
      <c r="X563" s="53"/>
      <c r="AP563" s="54"/>
    </row>
    <row r="564" spans="1:42" ht="18" customHeight="1" x14ac:dyDescent="0.3">
      <c r="A564" s="7"/>
      <c r="H564" s="53"/>
      <c r="R564" s="53"/>
      <c r="T564" s="53"/>
      <c r="U564" s="53"/>
      <c r="V564" s="53"/>
      <c r="W564" s="53"/>
      <c r="X564" s="53"/>
      <c r="AP564" s="54"/>
    </row>
    <row r="565" spans="1:42" ht="18" customHeight="1" x14ac:dyDescent="0.3">
      <c r="A565" s="7"/>
      <c r="H565" s="53"/>
      <c r="R565" s="53"/>
      <c r="T565" s="53"/>
      <c r="U565" s="53"/>
      <c r="V565" s="53"/>
      <c r="W565" s="53"/>
      <c r="X565" s="53"/>
      <c r="AP565" s="54"/>
    </row>
    <row r="566" spans="1:42" ht="18" customHeight="1" x14ac:dyDescent="0.3">
      <c r="A566" s="7"/>
      <c r="H566" s="53"/>
      <c r="R566" s="53"/>
      <c r="T566" s="53"/>
      <c r="U566" s="53"/>
      <c r="V566" s="53"/>
      <c r="W566" s="53"/>
      <c r="X566" s="53"/>
      <c r="AP566" s="54"/>
    </row>
    <row r="567" spans="1:42" ht="18" customHeight="1" x14ac:dyDescent="0.3">
      <c r="A567" s="7"/>
      <c r="H567" s="53"/>
      <c r="R567" s="53"/>
      <c r="T567" s="53"/>
      <c r="U567" s="53"/>
      <c r="V567" s="53"/>
      <c r="W567" s="53"/>
      <c r="X567" s="53"/>
      <c r="AP567" s="54"/>
    </row>
    <row r="568" spans="1:42" ht="18" customHeight="1" x14ac:dyDescent="0.3">
      <c r="A568" s="7"/>
      <c r="H568" s="53"/>
      <c r="R568" s="53"/>
      <c r="T568" s="53"/>
      <c r="U568" s="53"/>
      <c r="V568" s="53"/>
      <c r="W568" s="53"/>
      <c r="X568" s="53"/>
      <c r="AP568" s="54"/>
    </row>
    <row r="569" spans="1:42" ht="18" customHeight="1" x14ac:dyDescent="0.3">
      <c r="A569" s="7"/>
      <c r="H569" s="53"/>
      <c r="R569" s="53"/>
      <c r="T569" s="53"/>
      <c r="U569" s="53"/>
      <c r="V569" s="53"/>
      <c r="W569" s="53"/>
      <c r="X569" s="53"/>
      <c r="AP569" s="54"/>
    </row>
    <row r="570" spans="1:42" ht="18" customHeight="1" x14ac:dyDescent="0.3">
      <c r="A570" s="7"/>
      <c r="H570" s="53"/>
      <c r="R570" s="53"/>
      <c r="T570" s="53"/>
      <c r="U570" s="53"/>
      <c r="V570" s="53"/>
      <c r="W570" s="53"/>
      <c r="X570" s="53"/>
      <c r="AP570" s="54"/>
    </row>
    <row r="571" spans="1:42" ht="18" customHeight="1" x14ac:dyDescent="0.3">
      <c r="A571" s="7"/>
      <c r="H571" s="53"/>
      <c r="R571" s="53"/>
      <c r="T571" s="53"/>
      <c r="U571" s="53"/>
      <c r="V571" s="53"/>
      <c r="W571" s="53"/>
      <c r="X571" s="53"/>
      <c r="AP571" s="54"/>
    </row>
    <row r="572" spans="1:42" ht="18" customHeight="1" x14ac:dyDescent="0.3">
      <c r="A572" s="7"/>
      <c r="H572" s="53"/>
      <c r="R572" s="53"/>
      <c r="T572" s="53"/>
      <c r="U572" s="53"/>
      <c r="V572" s="53"/>
      <c r="W572" s="53"/>
      <c r="X572" s="53"/>
      <c r="AP572" s="54"/>
    </row>
    <row r="573" spans="1:42" ht="18" customHeight="1" x14ac:dyDescent="0.3">
      <c r="A573" s="7"/>
      <c r="H573" s="53"/>
      <c r="R573" s="53"/>
      <c r="T573" s="53"/>
      <c r="U573" s="53"/>
      <c r="V573" s="53"/>
      <c r="W573" s="53"/>
      <c r="X573" s="53"/>
      <c r="AP573" s="54"/>
    </row>
    <row r="574" spans="1:42" ht="18" customHeight="1" x14ac:dyDescent="0.3">
      <c r="A574" s="7"/>
      <c r="H574" s="53"/>
      <c r="R574" s="53"/>
      <c r="T574" s="53"/>
      <c r="U574" s="53"/>
      <c r="V574" s="53"/>
      <c r="W574" s="53"/>
      <c r="X574" s="53"/>
      <c r="AP574" s="54"/>
    </row>
    <row r="575" spans="1:42" ht="18" customHeight="1" x14ac:dyDescent="0.3">
      <c r="A575" s="7"/>
      <c r="H575" s="53"/>
      <c r="R575" s="53"/>
      <c r="T575" s="53"/>
      <c r="U575" s="53"/>
      <c r="V575" s="53"/>
      <c r="W575" s="53"/>
      <c r="X575" s="53"/>
      <c r="AP575" s="54"/>
    </row>
    <row r="576" spans="1:42" ht="18" customHeight="1" x14ac:dyDescent="0.3">
      <c r="A576" s="7"/>
      <c r="H576" s="53"/>
      <c r="R576" s="53"/>
      <c r="T576" s="53"/>
      <c r="U576" s="53"/>
      <c r="V576" s="53"/>
      <c r="W576" s="53"/>
      <c r="X576" s="53"/>
      <c r="AP576" s="54"/>
    </row>
    <row r="577" spans="1:42" ht="18" customHeight="1" x14ac:dyDescent="0.3">
      <c r="A577" s="7"/>
      <c r="H577" s="53"/>
      <c r="R577" s="53"/>
      <c r="T577" s="53"/>
      <c r="U577" s="53"/>
      <c r="V577" s="53"/>
      <c r="W577" s="53"/>
      <c r="X577" s="53"/>
      <c r="AP577" s="54"/>
    </row>
    <row r="578" spans="1:42" ht="18" customHeight="1" x14ac:dyDescent="0.3">
      <c r="A578" s="7"/>
      <c r="H578" s="53"/>
      <c r="R578" s="53"/>
      <c r="T578" s="53"/>
      <c r="U578" s="53"/>
      <c r="V578" s="53"/>
      <c r="W578" s="53"/>
      <c r="X578" s="53"/>
      <c r="AP578" s="54"/>
    </row>
    <row r="579" spans="1:42" ht="18" customHeight="1" x14ac:dyDescent="0.3">
      <c r="A579" s="7"/>
      <c r="H579" s="53"/>
      <c r="R579" s="53"/>
      <c r="T579" s="53"/>
      <c r="U579" s="53"/>
      <c r="V579" s="53"/>
      <c r="W579" s="53"/>
      <c r="X579" s="53"/>
      <c r="AP579" s="54"/>
    </row>
    <row r="580" spans="1:42" ht="18" customHeight="1" x14ac:dyDescent="0.3">
      <c r="A580" s="7"/>
      <c r="H580" s="53"/>
      <c r="R580" s="53"/>
      <c r="T580" s="53"/>
      <c r="U580" s="53"/>
      <c r="V580" s="53"/>
      <c r="W580" s="53"/>
      <c r="X580" s="53"/>
      <c r="AP580" s="54"/>
    </row>
    <row r="581" spans="1:42" ht="18" customHeight="1" x14ac:dyDescent="0.3">
      <c r="A581" s="7"/>
      <c r="H581" s="53"/>
      <c r="R581" s="53"/>
      <c r="T581" s="53"/>
      <c r="U581" s="53"/>
      <c r="V581" s="53"/>
      <c r="W581" s="53"/>
      <c r="X581" s="53"/>
      <c r="AP581" s="54"/>
    </row>
    <row r="582" spans="1:42" ht="18" customHeight="1" x14ac:dyDescent="0.3">
      <c r="A582" s="7"/>
      <c r="H582" s="53"/>
      <c r="R582" s="53"/>
      <c r="T582" s="53"/>
      <c r="U582" s="53"/>
      <c r="V582" s="53"/>
      <c r="W582" s="53"/>
      <c r="X582" s="53"/>
      <c r="AP582" s="54"/>
    </row>
    <row r="583" spans="1:42" ht="18" customHeight="1" x14ac:dyDescent="0.3">
      <c r="A583" s="7"/>
      <c r="H583" s="53"/>
      <c r="R583" s="53"/>
      <c r="T583" s="53"/>
      <c r="U583" s="53"/>
      <c r="V583" s="53"/>
      <c r="W583" s="53"/>
      <c r="X583" s="53"/>
      <c r="AP583" s="54"/>
    </row>
    <row r="584" spans="1:42" ht="18" customHeight="1" x14ac:dyDescent="0.3">
      <c r="A584" s="7"/>
      <c r="H584" s="53"/>
      <c r="R584" s="53"/>
      <c r="T584" s="53"/>
      <c r="U584" s="53"/>
      <c r="V584" s="53"/>
      <c r="W584" s="53"/>
      <c r="X584" s="53"/>
      <c r="AP584" s="54"/>
    </row>
    <row r="585" spans="1:42" ht="18" customHeight="1" x14ac:dyDescent="0.3">
      <c r="A585" s="7"/>
      <c r="H585" s="53"/>
      <c r="R585" s="53"/>
      <c r="T585" s="53"/>
      <c r="U585" s="53"/>
      <c r="V585" s="53"/>
      <c r="W585" s="53"/>
      <c r="X585" s="53"/>
      <c r="AP585" s="54"/>
    </row>
    <row r="586" spans="1:42" ht="18" customHeight="1" x14ac:dyDescent="0.3">
      <c r="A586" s="7"/>
      <c r="H586" s="53"/>
      <c r="R586" s="53"/>
      <c r="T586" s="53"/>
      <c r="U586" s="53"/>
      <c r="V586" s="53"/>
      <c r="W586" s="53"/>
      <c r="X586" s="53"/>
      <c r="AP586" s="54"/>
    </row>
    <row r="587" spans="1:42" ht="18" customHeight="1" x14ac:dyDescent="0.3">
      <c r="A587" s="7"/>
      <c r="H587" s="53"/>
      <c r="R587" s="53"/>
      <c r="T587" s="53"/>
      <c r="U587" s="53"/>
      <c r="V587" s="53"/>
      <c r="W587" s="53"/>
      <c r="X587" s="53"/>
      <c r="AP587" s="54"/>
    </row>
    <row r="588" spans="1:42" ht="18" customHeight="1" x14ac:dyDescent="0.3">
      <c r="A588" s="7"/>
      <c r="H588" s="53"/>
      <c r="R588" s="53"/>
      <c r="T588" s="53"/>
      <c r="U588" s="53"/>
      <c r="V588" s="53"/>
      <c r="W588" s="53"/>
      <c r="X588" s="53"/>
      <c r="AP588" s="54"/>
    </row>
    <row r="589" spans="1:42" ht="18" customHeight="1" x14ac:dyDescent="0.3">
      <c r="A589" s="7"/>
      <c r="H589" s="53"/>
      <c r="R589" s="53"/>
      <c r="T589" s="53"/>
      <c r="U589" s="53"/>
      <c r="V589" s="53"/>
      <c r="W589" s="53"/>
      <c r="X589" s="53"/>
      <c r="AP589" s="54"/>
    </row>
    <row r="590" spans="1:42" ht="18" customHeight="1" x14ac:dyDescent="0.3">
      <c r="A590" s="7"/>
      <c r="H590" s="53"/>
      <c r="R590" s="53"/>
      <c r="T590" s="53"/>
      <c r="U590" s="53"/>
      <c r="V590" s="53"/>
      <c r="W590" s="53"/>
      <c r="X590" s="53"/>
      <c r="AP590" s="54"/>
    </row>
    <row r="591" spans="1:42" ht="18" customHeight="1" x14ac:dyDescent="0.3">
      <c r="A591" s="7"/>
      <c r="H591" s="53"/>
      <c r="R591" s="53"/>
      <c r="T591" s="53"/>
      <c r="U591" s="53"/>
      <c r="V591" s="53"/>
      <c r="W591" s="53"/>
      <c r="X591" s="53"/>
      <c r="AP591" s="54"/>
    </row>
    <row r="592" spans="1:42" ht="18" customHeight="1" x14ac:dyDescent="0.3">
      <c r="A592" s="7"/>
      <c r="H592" s="53"/>
      <c r="R592" s="53"/>
      <c r="T592" s="53"/>
      <c r="U592" s="53"/>
      <c r="V592" s="53"/>
      <c r="W592" s="53"/>
      <c r="X592" s="53"/>
      <c r="AP592" s="54"/>
    </row>
    <row r="593" spans="1:42" ht="18" customHeight="1" x14ac:dyDescent="0.3">
      <c r="A593" s="7"/>
      <c r="H593" s="53"/>
      <c r="R593" s="53"/>
      <c r="T593" s="53"/>
      <c r="U593" s="53"/>
      <c r="V593" s="53"/>
      <c r="W593" s="53"/>
      <c r="X593" s="53"/>
      <c r="AP593" s="54"/>
    </row>
    <row r="594" spans="1:42" ht="18" customHeight="1" x14ac:dyDescent="0.3">
      <c r="A594" s="7"/>
      <c r="H594" s="53"/>
      <c r="R594" s="53"/>
      <c r="T594" s="53"/>
      <c r="U594" s="53"/>
      <c r="V594" s="53"/>
      <c r="W594" s="53"/>
      <c r="X594" s="53"/>
      <c r="AP594" s="54"/>
    </row>
    <row r="595" spans="1:42" ht="18" customHeight="1" x14ac:dyDescent="0.3">
      <c r="A595" s="7"/>
      <c r="H595" s="53"/>
      <c r="R595" s="53"/>
      <c r="T595" s="53"/>
      <c r="U595" s="53"/>
      <c r="V595" s="53"/>
      <c r="W595" s="53"/>
      <c r="X595" s="53"/>
      <c r="AP595" s="54"/>
    </row>
    <row r="596" spans="1:42" ht="18" customHeight="1" x14ac:dyDescent="0.3">
      <c r="A596" s="7"/>
      <c r="H596" s="53"/>
      <c r="R596" s="53"/>
      <c r="T596" s="53"/>
      <c r="U596" s="53"/>
      <c r="V596" s="53"/>
      <c r="W596" s="53"/>
      <c r="X596" s="53"/>
      <c r="AP596" s="54"/>
    </row>
    <row r="597" spans="1:42" ht="18" customHeight="1" x14ac:dyDescent="0.3">
      <c r="A597" s="7"/>
      <c r="H597" s="53"/>
      <c r="R597" s="53"/>
      <c r="T597" s="53"/>
      <c r="U597" s="53"/>
      <c r="V597" s="53"/>
      <c r="W597" s="53"/>
      <c r="X597" s="53"/>
      <c r="AP597" s="54"/>
    </row>
    <row r="598" spans="1:42" ht="18" customHeight="1" x14ac:dyDescent="0.3">
      <c r="A598" s="7"/>
      <c r="H598" s="53"/>
      <c r="R598" s="53"/>
      <c r="T598" s="53"/>
      <c r="U598" s="53"/>
      <c r="V598" s="53"/>
      <c r="W598" s="53"/>
      <c r="X598" s="53"/>
      <c r="AP598" s="54"/>
    </row>
    <row r="599" spans="1:42" ht="18" customHeight="1" x14ac:dyDescent="0.3">
      <c r="A599" s="7"/>
      <c r="H599" s="53"/>
      <c r="R599" s="53"/>
      <c r="T599" s="53"/>
      <c r="U599" s="53"/>
      <c r="V599" s="53"/>
      <c r="W599" s="53"/>
      <c r="X599" s="53"/>
      <c r="AP599" s="54"/>
    </row>
    <row r="600" spans="1:42" ht="18" customHeight="1" x14ac:dyDescent="0.3">
      <c r="A600" s="7"/>
      <c r="H600" s="53"/>
      <c r="R600" s="53"/>
      <c r="T600" s="53"/>
      <c r="U600" s="53"/>
      <c r="V600" s="53"/>
      <c r="W600" s="53"/>
      <c r="X600" s="53"/>
      <c r="AP600" s="54"/>
    </row>
    <row r="601" spans="1:42" ht="18" customHeight="1" x14ac:dyDescent="0.3">
      <c r="A601" s="7"/>
      <c r="H601" s="53"/>
      <c r="R601" s="53"/>
      <c r="T601" s="53"/>
      <c r="U601" s="53"/>
      <c r="V601" s="53"/>
      <c r="W601" s="53"/>
      <c r="X601" s="53"/>
      <c r="AP601" s="54"/>
    </row>
    <row r="602" spans="1:42" ht="18" customHeight="1" x14ac:dyDescent="0.3">
      <c r="A602" s="7"/>
      <c r="H602" s="53"/>
      <c r="R602" s="53"/>
      <c r="T602" s="53"/>
      <c r="U602" s="53"/>
      <c r="V602" s="53"/>
      <c r="W602" s="53"/>
      <c r="X602" s="53"/>
      <c r="AP602" s="54"/>
    </row>
    <row r="603" spans="1:42" ht="18" customHeight="1" x14ac:dyDescent="0.3">
      <c r="A603" s="7"/>
      <c r="H603" s="53"/>
      <c r="R603" s="53"/>
      <c r="T603" s="53"/>
      <c r="U603" s="53"/>
      <c r="V603" s="53"/>
      <c r="W603" s="53"/>
      <c r="X603" s="53"/>
      <c r="AP603" s="54"/>
    </row>
    <row r="604" spans="1:42" ht="18" customHeight="1" x14ac:dyDescent="0.3">
      <c r="A604" s="7"/>
      <c r="H604" s="53"/>
      <c r="R604" s="53"/>
      <c r="T604" s="53"/>
      <c r="U604" s="53"/>
      <c r="V604" s="53"/>
      <c r="W604" s="53"/>
      <c r="X604" s="53"/>
      <c r="AP604" s="54"/>
    </row>
    <row r="605" spans="1:42" ht="18" customHeight="1" x14ac:dyDescent="0.3">
      <c r="A605" s="7"/>
      <c r="H605" s="53"/>
      <c r="R605" s="53"/>
      <c r="T605" s="53"/>
      <c r="U605" s="53"/>
      <c r="V605" s="53"/>
      <c r="W605" s="53"/>
      <c r="X605" s="53"/>
      <c r="AP605" s="54"/>
    </row>
    <row r="606" spans="1:42" ht="18" customHeight="1" x14ac:dyDescent="0.3">
      <c r="A606" s="7"/>
      <c r="H606" s="53"/>
      <c r="R606" s="53"/>
      <c r="T606" s="53"/>
      <c r="U606" s="53"/>
      <c r="V606" s="53"/>
      <c r="W606" s="53"/>
      <c r="X606" s="53"/>
      <c r="AP606" s="54"/>
    </row>
    <row r="607" spans="1:42" ht="18" customHeight="1" x14ac:dyDescent="0.3">
      <c r="A607" s="7"/>
      <c r="H607" s="53"/>
      <c r="R607" s="53"/>
      <c r="T607" s="53"/>
      <c r="U607" s="53"/>
      <c r="V607" s="53"/>
      <c r="W607" s="53"/>
      <c r="X607" s="53"/>
      <c r="AP607" s="54"/>
    </row>
    <row r="608" spans="1:42" ht="18" customHeight="1" x14ac:dyDescent="0.3">
      <c r="A608" s="7"/>
      <c r="H608" s="53"/>
      <c r="R608" s="53"/>
      <c r="T608" s="53"/>
      <c r="U608" s="53"/>
      <c r="V608" s="53"/>
      <c r="W608" s="53"/>
      <c r="X608" s="53"/>
      <c r="AP608" s="54"/>
    </row>
    <row r="609" spans="1:42" ht="18" customHeight="1" x14ac:dyDescent="0.3">
      <c r="A609" s="7"/>
      <c r="H609" s="53"/>
      <c r="R609" s="53"/>
      <c r="T609" s="53"/>
      <c r="U609" s="53"/>
      <c r="V609" s="53"/>
      <c r="W609" s="53"/>
      <c r="X609" s="53"/>
      <c r="AP609" s="54"/>
    </row>
    <row r="610" spans="1:42" ht="18" customHeight="1" x14ac:dyDescent="0.3">
      <c r="A610" s="7"/>
      <c r="H610" s="53"/>
      <c r="R610" s="53"/>
      <c r="T610" s="53"/>
      <c r="U610" s="53"/>
      <c r="V610" s="53"/>
      <c r="W610" s="53"/>
      <c r="X610" s="53"/>
      <c r="AP610" s="54"/>
    </row>
    <row r="611" spans="1:42" ht="18" customHeight="1" x14ac:dyDescent="0.3">
      <c r="A611" s="7"/>
      <c r="H611" s="53"/>
      <c r="R611" s="53"/>
      <c r="T611" s="53"/>
      <c r="U611" s="53"/>
      <c r="V611" s="53"/>
      <c r="W611" s="53"/>
      <c r="X611" s="53"/>
      <c r="AP611" s="54"/>
    </row>
    <row r="612" spans="1:42" ht="18" customHeight="1" x14ac:dyDescent="0.3">
      <c r="A612" s="7"/>
      <c r="H612" s="53"/>
      <c r="R612" s="53"/>
      <c r="T612" s="53"/>
      <c r="U612" s="53"/>
      <c r="V612" s="53"/>
      <c r="W612" s="53"/>
      <c r="X612" s="53"/>
      <c r="AP612" s="54"/>
    </row>
    <row r="613" spans="1:42" ht="18" customHeight="1" x14ac:dyDescent="0.3">
      <c r="A613" s="7"/>
      <c r="H613" s="53"/>
      <c r="R613" s="53"/>
      <c r="T613" s="53"/>
      <c r="U613" s="53"/>
      <c r="V613" s="53"/>
      <c r="W613" s="53"/>
      <c r="X613" s="53"/>
      <c r="AP613" s="54"/>
    </row>
    <row r="614" spans="1:42" ht="18" customHeight="1" x14ac:dyDescent="0.3">
      <c r="A614" s="7"/>
      <c r="H614" s="53"/>
      <c r="R614" s="53"/>
      <c r="T614" s="53"/>
      <c r="U614" s="53"/>
      <c r="V614" s="53"/>
      <c r="W614" s="53"/>
      <c r="X614" s="53"/>
      <c r="AP614" s="54"/>
    </row>
    <row r="615" spans="1:42" ht="18" customHeight="1" x14ac:dyDescent="0.3">
      <c r="A615" s="7"/>
      <c r="H615" s="53"/>
      <c r="R615" s="53"/>
      <c r="T615" s="53"/>
      <c r="U615" s="53"/>
      <c r="V615" s="53"/>
      <c r="W615" s="53"/>
      <c r="X615" s="53"/>
      <c r="AP615" s="54"/>
    </row>
    <row r="616" spans="1:42" ht="18" customHeight="1" x14ac:dyDescent="0.3">
      <c r="A616" s="7"/>
      <c r="H616" s="53"/>
      <c r="R616" s="53"/>
      <c r="T616" s="53"/>
      <c r="U616" s="53"/>
      <c r="V616" s="53"/>
      <c r="W616" s="53"/>
      <c r="X616" s="53"/>
      <c r="AP616" s="54"/>
    </row>
    <row r="617" spans="1:42" ht="18" customHeight="1" x14ac:dyDescent="0.3">
      <c r="A617" s="7"/>
      <c r="H617" s="53"/>
      <c r="R617" s="53"/>
      <c r="T617" s="53"/>
      <c r="U617" s="53"/>
      <c r="V617" s="53"/>
      <c r="W617" s="53"/>
      <c r="X617" s="53"/>
      <c r="AP617" s="54"/>
    </row>
    <row r="618" spans="1:42" ht="18" customHeight="1" x14ac:dyDescent="0.3">
      <c r="A618" s="7"/>
      <c r="H618" s="53"/>
      <c r="R618" s="53"/>
      <c r="T618" s="53"/>
      <c r="U618" s="53"/>
      <c r="V618" s="53"/>
      <c r="W618" s="53"/>
      <c r="X618" s="53"/>
      <c r="AP618" s="54"/>
    </row>
    <row r="619" spans="1:42" ht="18" customHeight="1" x14ac:dyDescent="0.3">
      <c r="A619" s="7"/>
      <c r="H619" s="53"/>
      <c r="R619" s="53"/>
      <c r="T619" s="53"/>
      <c r="U619" s="53"/>
      <c r="V619" s="53"/>
      <c r="W619" s="53"/>
      <c r="X619" s="53"/>
      <c r="AP619" s="54"/>
    </row>
    <row r="620" spans="1:42" ht="18" customHeight="1" x14ac:dyDescent="0.3">
      <c r="A620" s="7"/>
      <c r="H620" s="53"/>
      <c r="R620" s="53"/>
      <c r="T620" s="53"/>
      <c r="U620" s="53"/>
      <c r="V620" s="53"/>
      <c r="W620" s="53"/>
      <c r="X620" s="53"/>
      <c r="AP620" s="54"/>
    </row>
    <row r="621" spans="1:42" ht="18" customHeight="1" x14ac:dyDescent="0.3">
      <c r="A621" s="7"/>
      <c r="H621" s="53"/>
      <c r="R621" s="53"/>
      <c r="T621" s="53"/>
      <c r="U621" s="53"/>
      <c r="V621" s="53"/>
      <c r="W621" s="53"/>
      <c r="X621" s="53"/>
      <c r="AP621" s="54"/>
    </row>
    <row r="622" spans="1:42" ht="18" customHeight="1" x14ac:dyDescent="0.3">
      <c r="A622" s="7"/>
      <c r="H622" s="53"/>
      <c r="R622" s="53"/>
      <c r="T622" s="53"/>
      <c r="U622" s="53"/>
      <c r="V622" s="53"/>
      <c r="W622" s="53"/>
      <c r="X622" s="53"/>
      <c r="AP622" s="54"/>
    </row>
    <row r="623" spans="1:42" ht="18" customHeight="1" x14ac:dyDescent="0.3">
      <c r="A623" s="7"/>
      <c r="H623" s="53"/>
      <c r="R623" s="53"/>
      <c r="T623" s="53"/>
      <c r="U623" s="53"/>
      <c r="V623" s="53"/>
      <c r="W623" s="53"/>
      <c r="X623" s="53"/>
      <c r="AP623" s="54"/>
    </row>
    <row r="624" spans="1:42" ht="18" customHeight="1" x14ac:dyDescent="0.3">
      <c r="A624" s="7"/>
      <c r="H624" s="53"/>
      <c r="R624" s="53"/>
      <c r="T624" s="53"/>
      <c r="U624" s="53"/>
      <c r="V624" s="53"/>
      <c r="W624" s="53"/>
      <c r="X624" s="53"/>
      <c r="AP624" s="54"/>
    </row>
    <row r="625" spans="1:42" ht="18" customHeight="1" x14ac:dyDescent="0.3">
      <c r="A625" s="7"/>
      <c r="H625" s="53"/>
      <c r="R625" s="53"/>
      <c r="T625" s="53"/>
      <c r="U625" s="53"/>
      <c r="V625" s="53"/>
      <c r="W625" s="53"/>
      <c r="X625" s="53"/>
      <c r="AP625" s="54"/>
    </row>
    <row r="626" spans="1:42" ht="18" customHeight="1" x14ac:dyDescent="0.3">
      <c r="A626" s="7"/>
      <c r="H626" s="53"/>
      <c r="R626" s="53"/>
      <c r="T626" s="53"/>
      <c r="U626" s="53"/>
      <c r="V626" s="53"/>
      <c r="W626" s="53"/>
      <c r="X626" s="53"/>
      <c r="AP626" s="54"/>
    </row>
    <row r="627" spans="1:42" ht="18" customHeight="1" x14ac:dyDescent="0.3">
      <c r="A627" s="7"/>
      <c r="H627" s="53"/>
      <c r="R627" s="53"/>
      <c r="T627" s="53"/>
      <c r="U627" s="53"/>
      <c r="V627" s="53"/>
      <c r="W627" s="53"/>
      <c r="X627" s="53"/>
      <c r="AP627" s="54"/>
    </row>
    <row r="628" spans="1:42" ht="18" customHeight="1" x14ac:dyDescent="0.3">
      <c r="A628" s="7"/>
      <c r="H628" s="53"/>
      <c r="R628" s="53"/>
      <c r="T628" s="53"/>
      <c r="U628" s="53"/>
      <c r="V628" s="53"/>
      <c r="W628" s="53"/>
      <c r="X628" s="53"/>
      <c r="AP628" s="54"/>
    </row>
    <row r="629" spans="1:42" ht="18" customHeight="1" x14ac:dyDescent="0.3">
      <c r="A629" s="7"/>
      <c r="H629" s="53"/>
      <c r="R629" s="53"/>
      <c r="T629" s="53"/>
      <c r="U629" s="53"/>
      <c r="V629" s="53"/>
      <c r="W629" s="53"/>
      <c r="X629" s="53"/>
      <c r="AP629" s="54"/>
    </row>
    <row r="630" spans="1:42" ht="18" customHeight="1" x14ac:dyDescent="0.3">
      <c r="A630" s="7"/>
      <c r="H630" s="53"/>
      <c r="R630" s="53"/>
      <c r="T630" s="53"/>
      <c r="U630" s="53"/>
      <c r="V630" s="53"/>
      <c r="W630" s="53"/>
      <c r="X630" s="53"/>
      <c r="AP630" s="54"/>
    </row>
    <row r="631" spans="1:42" ht="18" customHeight="1" x14ac:dyDescent="0.3">
      <c r="A631" s="7"/>
      <c r="H631" s="53"/>
      <c r="R631" s="53"/>
      <c r="T631" s="53"/>
      <c r="U631" s="53"/>
      <c r="V631" s="53"/>
      <c r="W631" s="53"/>
      <c r="X631" s="53"/>
      <c r="AP631" s="54"/>
    </row>
    <row r="632" spans="1:42" ht="18" customHeight="1" x14ac:dyDescent="0.3">
      <c r="A632" s="7"/>
      <c r="H632" s="53"/>
      <c r="R632" s="53"/>
      <c r="T632" s="53"/>
      <c r="U632" s="53"/>
      <c r="V632" s="53"/>
      <c r="W632" s="53"/>
      <c r="X632" s="53"/>
      <c r="AP632" s="54"/>
    </row>
    <row r="633" spans="1:42" ht="18" customHeight="1" x14ac:dyDescent="0.3">
      <c r="A633" s="7"/>
      <c r="H633" s="53"/>
      <c r="R633" s="53"/>
      <c r="T633" s="53"/>
      <c r="U633" s="53"/>
      <c r="V633" s="53"/>
      <c r="W633" s="53"/>
      <c r="X633" s="53"/>
      <c r="AP633" s="54"/>
    </row>
    <row r="634" spans="1:42" ht="18" customHeight="1" x14ac:dyDescent="0.3">
      <c r="A634" s="7"/>
      <c r="H634" s="53"/>
      <c r="R634" s="53"/>
      <c r="T634" s="53"/>
      <c r="U634" s="53"/>
      <c r="V634" s="53"/>
      <c r="W634" s="53"/>
      <c r="X634" s="53"/>
      <c r="AP634" s="54"/>
    </row>
    <row r="635" spans="1:42" ht="18" customHeight="1" x14ac:dyDescent="0.3">
      <c r="A635" s="7"/>
      <c r="H635" s="53"/>
      <c r="R635" s="53"/>
      <c r="T635" s="53"/>
      <c r="U635" s="53"/>
      <c r="V635" s="53"/>
      <c r="W635" s="53"/>
      <c r="X635" s="53"/>
      <c r="AP635" s="54"/>
    </row>
    <row r="636" spans="1:42" ht="18" customHeight="1" x14ac:dyDescent="0.3">
      <c r="A636" s="7"/>
      <c r="H636" s="53"/>
      <c r="R636" s="53"/>
      <c r="T636" s="53"/>
      <c r="U636" s="53"/>
      <c r="V636" s="53"/>
      <c r="W636" s="53"/>
      <c r="X636" s="53"/>
      <c r="AP636" s="54"/>
    </row>
    <row r="637" spans="1:42" ht="18" customHeight="1" x14ac:dyDescent="0.3">
      <c r="A637" s="7"/>
      <c r="H637" s="53"/>
      <c r="R637" s="53"/>
      <c r="T637" s="53"/>
      <c r="U637" s="53"/>
      <c r="V637" s="53"/>
      <c r="W637" s="53"/>
      <c r="X637" s="53"/>
      <c r="AP637" s="54"/>
    </row>
    <row r="638" spans="1:42" ht="18" customHeight="1" x14ac:dyDescent="0.3">
      <c r="A638" s="7"/>
      <c r="H638" s="53"/>
      <c r="R638" s="53"/>
      <c r="T638" s="53"/>
      <c r="U638" s="53"/>
      <c r="V638" s="53"/>
      <c r="W638" s="53"/>
      <c r="X638" s="53"/>
      <c r="AP638" s="54"/>
    </row>
    <row r="639" spans="1:42" ht="18" customHeight="1" x14ac:dyDescent="0.3">
      <c r="A639" s="7"/>
      <c r="H639" s="53"/>
      <c r="R639" s="53"/>
      <c r="T639" s="53"/>
      <c r="U639" s="53"/>
      <c r="V639" s="53"/>
      <c r="W639" s="53"/>
      <c r="X639" s="53"/>
      <c r="AP639" s="54"/>
    </row>
    <row r="640" spans="1:42" ht="18" customHeight="1" x14ac:dyDescent="0.3">
      <c r="A640" s="7"/>
      <c r="H640" s="53"/>
      <c r="R640" s="53"/>
      <c r="T640" s="53"/>
      <c r="U640" s="53"/>
      <c r="V640" s="53"/>
      <c r="W640" s="53"/>
      <c r="X640" s="53"/>
      <c r="AP640" s="54"/>
    </row>
    <row r="641" spans="1:42" ht="18" customHeight="1" x14ac:dyDescent="0.3">
      <c r="A641" s="7"/>
      <c r="H641" s="53"/>
      <c r="R641" s="53"/>
      <c r="T641" s="53"/>
      <c r="U641" s="53"/>
      <c r="V641" s="53"/>
      <c r="W641" s="53"/>
      <c r="X641" s="53"/>
      <c r="AP641" s="54"/>
    </row>
    <row r="642" spans="1:42" ht="18" customHeight="1" x14ac:dyDescent="0.3">
      <c r="A642" s="7"/>
      <c r="H642" s="53"/>
      <c r="R642" s="53"/>
      <c r="T642" s="53"/>
      <c r="U642" s="53"/>
      <c r="V642" s="53"/>
      <c r="W642" s="53"/>
      <c r="X642" s="53"/>
      <c r="AP642" s="54"/>
    </row>
    <row r="643" spans="1:42" ht="18" customHeight="1" x14ac:dyDescent="0.3">
      <c r="A643" s="7"/>
      <c r="H643" s="53"/>
      <c r="R643" s="53"/>
      <c r="T643" s="53"/>
      <c r="U643" s="53"/>
      <c r="V643" s="53"/>
      <c r="W643" s="53"/>
      <c r="X643" s="53"/>
      <c r="AP643" s="54"/>
    </row>
    <row r="644" spans="1:42" ht="18" customHeight="1" x14ac:dyDescent="0.3">
      <c r="A644" s="7"/>
      <c r="H644" s="53"/>
      <c r="R644" s="53"/>
      <c r="T644" s="53"/>
      <c r="U644" s="53"/>
      <c r="V644" s="53"/>
      <c r="W644" s="53"/>
      <c r="X644" s="53"/>
      <c r="AP644" s="54"/>
    </row>
    <row r="645" spans="1:42" ht="18" customHeight="1" x14ac:dyDescent="0.3">
      <c r="A645" s="7"/>
      <c r="H645" s="53"/>
      <c r="R645" s="53"/>
      <c r="T645" s="53"/>
      <c r="U645" s="53"/>
      <c r="V645" s="53"/>
      <c r="W645" s="53"/>
      <c r="X645" s="53"/>
      <c r="AP645" s="54"/>
    </row>
    <row r="646" spans="1:42" ht="18" customHeight="1" x14ac:dyDescent="0.3">
      <c r="A646" s="7"/>
      <c r="H646" s="53"/>
      <c r="R646" s="53"/>
      <c r="T646" s="53"/>
      <c r="U646" s="53"/>
      <c r="V646" s="53"/>
      <c r="W646" s="53"/>
      <c r="X646" s="53"/>
      <c r="AP646" s="54"/>
    </row>
    <row r="647" spans="1:42" ht="18" customHeight="1" x14ac:dyDescent="0.3">
      <c r="A647" s="7"/>
      <c r="H647" s="53"/>
      <c r="R647" s="53"/>
      <c r="T647" s="53"/>
      <c r="U647" s="53"/>
      <c r="V647" s="53"/>
      <c r="W647" s="53"/>
      <c r="X647" s="53"/>
      <c r="AP647" s="54"/>
    </row>
    <row r="648" spans="1:42" ht="18" customHeight="1" x14ac:dyDescent="0.3">
      <c r="A648" s="7"/>
      <c r="H648" s="53"/>
      <c r="R648" s="53"/>
      <c r="T648" s="53"/>
      <c r="U648" s="53"/>
      <c r="V648" s="53"/>
      <c r="W648" s="53"/>
      <c r="X648" s="53"/>
      <c r="AP648" s="54"/>
    </row>
    <row r="649" spans="1:42" ht="18" customHeight="1" x14ac:dyDescent="0.3">
      <c r="A649" s="7"/>
      <c r="H649" s="53"/>
      <c r="R649" s="53"/>
      <c r="T649" s="53"/>
      <c r="U649" s="53"/>
      <c r="V649" s="53"/>
      <c r="W649" s="53"/>
      <c r="X649" s="53"/>
      <c r="AP649" s="54"/>
    </row>
    <row r="650" spans="1:42" ht="18" customHeight="1" x14ac:dyDescent="0.3">
      <c r="A650" s="7"/>
      <c r="H650" s="53"/>
      <c r="R650" s="53"/>
      <c r="T650" s="53"/>
      <c r="U650" s="53"/>
      <c r="V650" s="53"/>
      <c r="W650" s="53"/>
      <c r="X650" s="53"/>
      <c r="AP650" s="54"/>
    </row>
    <row r="651" spans="1:42" ht="18" customHeight="1" x14ac:dyDescent="0.3">
      <c r="A651" s="7"/>
      <c r="H651" s="53"/>
      <c r="R651" s="53"/>
      <c r="T651" s="53"/>
      <c r="U651" s="53"/>
      <c r="V651" s="53"/>
      <c r="W651" s="53"/>
      <c r="X651" s="53"/>
      <c r="AP651" s="54"/>
    </row>
    <row r="652" spans="1:42" ht="18" customHeight="1" x14ac:dyDescent="0.3">
      <c r="A652" s="7"/>
      <c r="H652" s="53"/>
      <c r="R652" s="53"/>
      <c r="T652" s="53"/>
      <c r="U652" s="53"/>
      <c r="V652" s="53"/>
      <c r="W652" s="53"/>
      <c r="X652" s="53"/>
      <c r="AP652" s="54"/>
    </row>
    <row r="653" spans="1:42" ht="18" customHeight="1" x14ac:dyDescent="0.3">
      <c r="A653" s="7"/>
      <c r="H653" s="53"/>
      <c r="R653" s="53"/>
      <c r="T653" s="53"/>
      <c r="U653" s="53"/>
      <c r="V653" s="53"/>
      <c r="W653" s="53"/>
      <c r="X653" s="53"/>
      <c r="AP653" s="54"/>
    </row>
    <row r="654" spans="1:42" ht="18" customHeight="1" x14ac:dyDescent="0.3">
      <c r="A654" s="7"/>
      <c r="H654" s="53"/>
      <c r="R654" s="53"/>
      <c r="T654" s="53"/>
      <c r="U654" s="53"/>
      <c r="V654" s="53"/>
      <c r="W654" s="53"/>
      <c r="X654" s="53"/>
      <c r="AP654" s="54"/>
    </row>
    <row r="655" spans="1:42" ht="18" customHeight="1" x14ac:dyDescent="0.3">
      <c r="A655" s="7"/>
      <c r="H655" s="53"/>
      <c r="R655" s="53"/>
      <c r="T655" s="53"/>
      <c r="U655" s="53"/>
      <c r="V655" s="53"/>
      <c r="W655" s="53"/>
      <c r="X655" s="53"/>
      <c r="AP655" s="54"/>
    </row>
    <row r="656" spans="1:42" ht="18" customHeight="1" x14ac:dyDescent="0.3">
      <c r="A656" s="7"/>
      <c r="H656" s="53"/>
      <c r="R656" s="53"/>
      <c r="T656" s="53"/>
      <c r="U656" s="53"/>
      <c r="V656" s="53"/>
      <c r="W656" s="53"/>
      <c r="X656" s="53"/>
      <c r="AP656" s="54"/>
    </row>
    <row r="657" spans="1:42" ht="18" customHeight="1" x14ac:dyDescent="0.3">
      <c r="A657" s="7"/>
      <c r="H657" s="53"/>
      <c r="R657" s="53"/>
      <c r="T657" s="53"/>
      <c r="U657" s="53"/>
      <c r="V657" s="53"/>
      <c r="W657" s="53"/>
      <c r="X657" s="53"/>
      <c r="AP657" s="54"/>
    </row>
    <row r="658" spans="1:42" ht="18" customHeight="1" x14ac:dyDescent="0.3">
      <c r="A658" s="7"/>
      <c r="H658" s="53"/>
      <c r="R658" s="53"/>
      <c r="T658" s="53"/>
      <c r="U658" s="53"/>
      <c r="V658" s="53"/>
      <c r="W658" s="53"/>
      <c r="X658" s="53"/>
      <c r="AP658" s="54"/>
    </row>
    <row r="659" spans="1:42" ht="18" customHeight="1" x14ac:dyDescent="0.3">
      <c r="A659" s="7"/>
      <c r="H659" s="53"/>
      <c r="R659" s="53"/>
      <c r="T659" s="53"/>
      <c r="U659" s="53"/>
      <c r="V659" s="53"/>
      <c r="W659" s="53"/>
      <c r="X659" s="53"/>
      <c r="AP659" s="54"/>
    </row>
    <row r="660" spans="1:42" ht="18" customHeight="1" x14ac:dyDescent="0.3">
      <c r="A660" s="7"/>
      <c r="H660" s="53"/>
      <c r="R660" s="53"/>
      <c r="T660" s="53"/>
      <c r="U660" s="53"/>
      <c r="V660" s="53"/>
      <c r="W660" s="53"/>
      <c r="X660" s="53"/>
      <c r="AP660" s="54"/>
    </row>
    <row r="661" spans="1:42" ht="18" customHeight="1" x14ac:dyDescent="0.3">
      <c r="A661" s="7"/>
      <c r="H661" s="53"/>
      <c r="R661" s="53"/>
      <c r="T661" s="53"/>
      <c r="U661" s="53"/>
      <c r="V661" s="53"/>
      <c r="W661" s="53"/>
      <c r="X661" s="53"/>
      <c r="AP661" s="54"/>
    </row>
    <row r="662" spans="1:42" ht="18" customHeight="1" x14ac:dyDescent="0.3">
      <c r="A662" s="7"/>
      <c r="H662" s="53"/>
      <c r="R662" s="53"/>
      <c r="T662" s="53"/>
      <c r="U662" s="53"/>
      <c r="V662" s="53"/>
      <c r="W662" s="53"/>
      <c r="X662" s="53"/>
      <c r="AP662" s="54"/>
    </row>
    <row r="663" spans="1:42" ht="18" customHeight="1" x14ac:dyDescent="0.3">
      <c r="A663" s="7"/>
      <c r="H663" s="53"/>
      <c r="R663" s="53"/>
      <c r="T663" s="53"/>
      <c r="U663" s="53"/>
      <c r="V663" s="53"/>
      <c r="W663" s="53"/>
      <c r="X663" s="53"/>
      <c r="AP663" s="54"/>
    </row>
    <row r="664" spans="1:42" ht="18" customHeight="1" x14ac:dyDescent="0.3">
      <c r="A664" s="7"/>
      <c r="H664" s="53"/>
      <c r="R664" s="53"/>
      <c r="T664" s="53"/>
      <c r="U664" s="53"/>
      <c r="V664" s="53"/>
      <c r="W664" s="53"/>
      <c r="X664" s="53"/>
      <c r="AP664" s="54"/>
    </row>
    <row r="665" spans="1:42" ht="18" customHeight="1" x14ac:dyDescent="0.3">
      <c r="A665" s="7"/>
      <c r="H665" s="53"/>
      <c r="R665" s="53"/>
      <c r="T665" s="53"/>
      <c r="U665" s="53"/>
      <c r="V665" s="53"/>
      <c r="W665" s="53"/>
      <c r="X665" s="53"/>
      <c r="AP665" s="54"/>
    </row>
    <row r="666" spans="1:42" ht="18" customHeight="1" x14ac:dyDescent="0.3">
      <c r="A666" s="7"/>
      <c r="H666" s="53"/>
      <c r="R666" s="53"/>
      <c r="T666" s="53"/>
      <c r="U666" s="53"/>
      <c r="V666" s="53"/>
      <c r="W666" s="53"/>
      <c r="X666" s="53"/>
      <c r="AP666" s="54"/>
    </row>
    <row r="667" spans="1:42" ht="18" customHeight="1" x14ac:dyDescent="0.3">
      <c r="A667" s="7"/>
      <c r="H667" s="53"/>
      <c r="R667" s="53"/>
      <c r="T667" s="53"/>
      <c r="U667" s="53"/>
      <c r="V667" s="53"/>
      <c r="W667" s="53"/>
      <c r="X667" s="53"/>
      <c r="AP667" s="54"/>
    </row>
    <row r="668" spans="1:42" ht="18" customHeight="1" x14ac:dyDescent="0.3">
      <c r="A668" s="7"/>
      <c r="H668" s="53"/>
      <c r="R668" s="53"/>
      <c r="T668" s="53"/>
      <c r="U668" s="53"/>
      <c r="V668" s="53"/>
      <c r="W668" s="53"/>
      <c r="X668" s="53"/>
      <c r="AP668" s="54"/>
    </row>
    <row r="669" spans="1:42" ht="18" customHeight="1" x14ac:dyDescent="0.3">
      <c r="A669" s="7"/>
      <c r="H669" s="53"/>
      <c r="R669" s="53"/>
      <c r="T669" s="53"/>
      <c r="U669" s="53"/>
      <c r="V669" s="53"/>
      <c r="W669" s="53"/>
      <c r="X669" s="53"/>
      <c r="AP669" s="54"/>
    </row>
    <row r="670" spans="1:42" ht="18" customHeight="1" x14ac:dyDescent="0.3">
      <c r="A670" s="7"/>
      <c r="H670" s="53"/>
      <c r="R670" s="53"/>
      <c r="T670" s="53"/>
      <c r="U670" s="53"/>
      <c r="V670" s="53"/>
      <c r="W670" s="53"/>
      <c r="X670" s="53"/>
      <c r="AP670" s="54"/>
    </row>
    <row r="671" spans="1:42" ht="18" customHeight="1" x14ac:dyDescent="0.3">
      <c r="A671" s="7"/>
      <c r="H671" s="53"/>
      <c r="R671" s="53"/>
      <c r="T671" s="53"/>
      <c r="U671" s="53"/>
      <c r="V671" s="53"/>
      <c r="W671" s="53"/>
      <c r="X671" s="53"/>
      <c r="AP671" s="54"/>
    </row>
    <row r="672" spans="1:42" ht="18" customHeight="1" x14ac:dyDescent="0.3">
      <c r="A672" s="7"/>
      <c r="H672" s="53"/>
      <c r="R672" s="53"/>
      <c r="T672" s="53"/>
      <c r="U672" s="53"/>
      <c r="V672" s="53"/>
      <c r="W672" s="53"/>
      <c r="X672" s="53"/>
      <c r="AP672" s="54"/>
    </row>
    <row r="673" spans="1:42" ht="18" customHeight="1" x14ac:dyDescent="0.3">
      <c r="A673" s="7"/>
      <c r="H673" s="53"/>
      <c r="R673" s="53"/>
      <c r="T673" s="53"/>
      <c r="U673" s="53"/>
      <c r="V673" s="53"/>
      <c r="W673" s="53"/>
      <c r="X673" s="53"/>
      <c r="AP673" s="54"/>
    </row>
    <row r="674" spans="1:42" ht="18" customHeight="1" x14ac:dyDescent="0.3">
      <c r="A674" s="7"/>
      <c r="H674" s="53"/>
      <c r="R674" s="53"/>
      <c r="T674" s="53"/>
      <c r="U674" s="53"/>
      <c r="V674" s="53"/>
      <c r="W674" s="53"/>
      <c r="X674" s="53"/>
      <c r="AP674" s="54"/>
    </row>
    <row r="675" spans="1:42" ht="18" customHeight="1" x14ac:dyDescent="0.3">
      <c r="A675" s="7"/>
      <c r="H675" s="53"/>
      <c r="R675" s="53"/>
      <c r="T675" s="53"/>
      <c r="U675" s="53"/>
      <c r="V675" s="53"/>
      <c r="W675" s="53"/>
      <c r="X675" s="53"/>
      <c r="AP675" s="54"/>
    </row>
    <row r="676" spans="1:42" ht="18" customHeight="1" x14ac:dyDescent="0.3">
      <c r="A676" s="7"/>
      <c r="H676" s="53"/>
      <c r="R676" s="53"/>
      <c r="T676" s="53"/>
      <c r="U676" s="53"/>
      <c r="V676" s="53"/>
      <c r="W676" s="53"/>
      <c r="X676" s="53"/>
      <c r="AP676" s="54"/>
    </row>
    <row r="677" spans="1:42" ht="18" customHeight="1" x14ac:dyDescent="0.3">
      <c r="A677" s="7"/>
      <c r="H677" s="53"/>
      <c r="R677" s="53"/>
      <c r="T677" s="53"/>
      <c r="U677" s="53"/>
      <c r="V677" s="53"/>
      <c r="W677" s="53"/>
      <c r="X677" s="53"/>
      <c r="AP677" s="54"/>
    </row>
    <row r="678" spans="1:42" ht="18" customHeight="1" x14ac:dyDescent="0.3">
      <c r="A678" s="7"/>
      <c r="H678" s="53"/>
      <c r="R678" s="53"/>
      <c r="T678" s="53"/>
      <c r="U678" s="53"/>
      <c r="V678" s="53"/>
      <c r="W678" s="53"/>
      <c r="X678" s="53"/>
      <c r="AP678" s="54"/>
    </row>
    <row r="679" spans="1:42" ht="18" customHeight="1" x14ac:dyDescent="0.3">
      <c r="A679" s="7"/>
      <c r="H679" s="53"/>
      <c r="R679" s="53"/>
      <c r="T679" s="53"/>
      <c r="U679" s="53"/>
      <c r="V679" s="53"/>
      <c r="W679" s="53"/>
      <c r="X679" s="53"/>
      <c r="AP679" s="54"/>
    </row>
    <row r="680" spans="1:42" ht="18" customHeight="1" x14ac:dyDescent="0.3">
      <c r="A680" s="7"/>
      <c r="H680" s="53"/>
      <c r="R680" s="53"/>
      <c r="T680" s="53"/>
      <c r="U680" s="53"/>
      <c r="V680" s="53"/>
      <c r="W680" s="53"/>
      <c r="X680" s="53"/>
      <c r="AP680" s="54"/>
    </row>
    <row r="681" spans="1:42" ht="18" customHeight="1" x14ac:dyDescent="0.3">
      <c r="A681" s="7"/>
      <c r="H681" s="53"/>
      <c r="R681" s="53"/>
      <c r="T681" s="53"/>
      <c r="U681" s="53"/>
      <c r="V681" s="53"/>
      <c r="W681" s="53"/>
      <c r="X681" s="53"/>
      <c r="AP681" s="54"/>
    </row>
    <row r="682" spans="1:42" ht="18" customHeight="1" x14ac:dyDescent="0.3">
      <c r="A682" s="7"/>
      <c r="H682" s="53"/>
      <c r="R682" s="53"/>
      <c r="T682" s="53"/>
      <c r="U682" s="53"/>
      <c r="V682" s="53"/>
      <c r="W682" s="53"/>
      <c r="X682" s="53"/>
      <c r="AP682" s="54"/>
    </row>
    <row r="683" spans="1:42" ht="18" customHeight="1" x14ac:dyDescent="0.3">
      <c r="A683" s="7"/>
      <c r="H683" s="53"/>
      <c r="R683" s="53"/>
      <c r="T683" s="53"/>
      <c r="U683" s="53"/>
      <c r="V683" s="53"/>
      <c r="W683" s="53"/>
      <c r="X683" s="53"/>
      <c r="AP683" s="54"/>
    </row>
    <row r="684" spans="1:42" ht="18" customHeight="1" x14ac:dyDescent="0.3">
      <c r="A684" s="7"/>
      <c r="H684" s="53"/>
      <c r="R684" s="53"/>
      <c r="T684" s="53"/>
      <c r="U684" s="53"/>
      <c r="V684" s="53"/>
      <c r="W684" s="53"/>
      <c r="X684" s="53"/>
      <c r="AP684" s="54"/>
    </row>
    <row r="685" spans="1:42" ht="18" customHeight="1" x14ac:dyDescent="0.3">
      <c r="A685" s="7"/>
      <c r="H685" s="53"/>
      <c r="R685" s="53"/>
      <c r="T685" s="53"/>
      <c r="U685" s="53"/>
      <c r="V685" s="53"/>
      <c r="W685" s="53"/>
      <c r="X685" s="53"/>
      <c r="AP685" s="54"/>
    </row>
    <row r="686" spans="1:42" ht="18" customHeight="1" x14ac:dyDescent="0.3">
      <c r="A686" s="7"/>
      <c r="H686" s="53"/>
      <c r="R686" s="53"/>
      <c r="T686" s="53"/>
      <c r="U686" s="53"/>
      <c r="V686" s="53"/>
      <c r="W686" s="53"/>
      <c r="X686" s="53"/>
      <c r="AP686" s="54"/>
    </row>
    <row r="687" spans="1:42" ht="18" customHeight="1" x14ac:dyDescent="0.3">
      <c r="A687" s="7"/>
      <c r="H687" s="53"/>
      <c r="R687" s="53"/>
      <c r="T687" s="53"/>
      <c r="U687" s="53"/>
      <c r="V687" s="53"/>
      <c r="W687" s="53"/>
      <c r="X687" s="53"/>
      <c r="AP687" s="54"/>
    </row>
    <row r="688" spans="1:42" ht="18" customHeight="1" x14ac:dyDescent="0.3">
      <c r="A688" s="7"/>
      <c r="H688" s="53"/>
      <c r="R688" s="53"/>
      <c r="T688" s="53"/>
      <c r="U688" s="53"/>
      <c r="V688" s="53"/>
      <c r="W688" s="53"/>
      <c r="X688" s="53"/>
      <c r="AP688" s="54"/>
    </row>
    <row r="689" spans="1:42" ht="18" customHeight="1" x14ac:dyDescent="0.3">
      <c r="A689" s="7"/>
      <c r="H689" s="53"/>
      <c r="R689" s="53"/>
      <c r="T689" s="53"/>
      <c r="U689" s="53"/>
      <c r="V689" s="53"/>
      <c r="W689" s="53"/>
      <c r="X689" s="53"/>
      <c r="AP689" s="54"/>
    </row>
    <row r="690" spans="1:42" ht="18" customHeight="1" x14ac:dyDescent="0.3">
      <c r="A690" s="7"/>
      <c r="H690" s="53"/>
      <c r="R690" s="53"/>
      <c r="T690" s="53"/>
      <c r="U690" s="53"/>
      <c r="V690" s="53"/>
      <c r="W690" s="53"/>
      <c r="X690" s="53"/>
      <c r="AP690" s="54"/>
    </row>
    <row r="691" spans="1:42" ht="18" customHeight="1" x14ac:dyDescent="0.3">
      <c r="A691" s="7"/>
      <c r="H691" s="53"/>
      <c r="R691" s="53"/>
      <c r="T691" s="53"/>
      <c r="U691" s="53"/>
      <c r="V691" s="53"/>
      <c r="W691" s="53"/>
      <c r="X691" s="53"/>
      <c r="AP691" s="54"/>
    </row>
    <row r="692" spans="1:42" ht="18" customHeight="1" x14ac:dyDescent="0.3">
      <c r="A692" s="7"/>
      <c r="H692" s="53"/>
      <c r="R692" s="53"/>
      <c r="T692" s="53"/>
      <c r="U692" s="53"/>
      <c r="V692" s="53"/>
      <c r="W692" s="53"/>
      <c r="X692" s="53"/>
      <c r="AP692" s="54"/>
    </row>
    <row r="693" spans="1:42" ht="18" customHeight="1" x14ac:dyDescent="0.3">
      <c r="A693" s="7"/>
      <c r="H693" s="53"/>
      <c r="R693" s="53"/>
      <c r="T693" s="53"/>
      <c r="U693" s="53"/>
      <c r="V693" s="53"/>
      <c r="W693" s="53"/>
      <c r="X693" s="53"/>
      <c r="AP693" s="54"/>
    </row>
    <row r="694" spans="1:42" ht="18" customHeight="1" x14ac:dyDescent="0.3">
      <c r="A694" s="7"/>
      <c r="H694" s="53"/>
      <c r="R694" s="53"/>
      <c r="T694" s="53"/>
      <c r="U694" s="53"/>
      <c r="V694" s="53"/>
      <c r="W694" s="53"/>
      <c r="X694" s="53"/>
      <c r="AP694" s="54"/>
    </row>
    <row r="695" spans="1:42" ht="18" customHeight="1" x14ac:dyDescent="0.3">
      <c r="A695" s="7"/>
      <c r="H695" s="53"/>
      <c r="R695" s="53"/>
      <c r="T695" s="53"/>
      <c r="U695" s="53"/>
      <c r="V695" s="53"/>
      <c r="W695" s="53"/>
      <c r="X695" s="53"/>
      <c r="AP695" s="54"/>
    </row>
    <row r="696" spans="1:42" ht="18" customHeight="1" x14ac:dyDescent="0.3">
      <c r="A696" s="7"/>
      <c r="H696" s="53"/>
      <c r="R696" s="53"/>
      <c r="T696" s="53"/>
      <c r="U696" s="53"/>
      <c r="V696" s="53"/>
      <c r="W696" s="53"/>
      <c r="X696" s="53"/>
      <c r="AP696" s="54"/>
    </row>
    <row r="697" spans="1:42" ht="18" customHeight="1" x14ac:dyDescent="0.3">
      <c r="A697" s="7"/>
      <c r="H697" s="53"/>
      <c r="R697" s="53"/>
      <c r="T697" s="53"/>
      <c r="U697" s="53"/>
      <c r="V697" s="53"/>
      <c r="W697" s="53"/>
      <c r="X697" s="53"/>
      <c r="AP697" s="54"/>
    </row>
    <row r="698" spans="1:42" ht="18" customHeight="1" x14ac:dyDescent="0.3">
      <c r="A698" s="7"/>
      <c r="H698" s="53"/>
      <c r="R698" s="53"/>
      <c r="T698" s="53"/>
      <c r="U698" s="53"/>
      <c r="V698" s="53"/>
      <c r="W698" s="53"/>
      <c r="X698" s="53"/>
      <c r="AP698" s="54"/>
    </row>
    <row r="699" spans="1:42" ht="18" customHeight="1" x14ac:dyDescent="0.3">
      <c r="A699" s="7"/>
      <c r="H699" s="53"/>
      <c r="R699" s="53"/>
      <c r="T699" s="53"/>
      <c r="U699" s="53"/>
      <c r="V699" s="53"/>
      <c r="W699" s="53"/>
      <c r="X699" s="53"/>
      <c r="AP699" s="54"/>
    </row>
    <row r="700" spans="1:42" ht="18" customHeight="1" x14ac:dyDescent="0.3">
      <c r="A700" s="7"/>
      <c r="H700" s="53"/>
      <c r="R700" s="53"/>
      <c r="T700" s="53"/>
      <c r="U700" s="53"/>
      <c r="V700" s="53"/>
      <c r="W700" s="53"/>
      <c r="X700" s="53"/>
      <c r="AP700" s="54"/>
    </row>
    <row r="701" spans="1:42" ht="18" customHeight="1" x14ac:dyDescent="0.3">
      <c r="A701" s="7"/>
      <c r="H701" s="53"/>
      <c r="R701" s="53"/>
      <c r="T701" s="53"/>
      <c r="U701" s="53"/>
      <c r="V701" s="53"/>
      <c r="W701" s="53"/>
      <c r="X701" s="53"/>
      <c r="AP701" s="54"/>
    </row>
    <row r="702" spans="1:42" ht="18" customHeight="1" x14ac:dyDescent="0.3">
      <c r="A702" s="7"/>
      <c r="H702" s="53"/>
      <c r="R702" s="53"/>
      <c r="T702" s="53"/>
      <c r="U702" s="53"/>
      <c r="V702" s="53"/>
      <c r="W702" s="53"/>
      <c r="X702" s="53"/>
      <c r="AP702" s="54"/>
    </row>
    <row r="703" spans="1:42" ht="18" customHeight="1" x14ac:dyDescent="0.3">
      <c r="A703" s="7"/>
      <c r="H703" s="53"/>
      <c r="R703" s="53"/>
      <c r="T703" s="53"/>
      <c r="U703" s="53"/>
      <c r="V703" s="53"/>
      <c r="W703" s="53"/>
      <c r="X703" s="53"/>
      <c r="AP703" s="54"/>
    </row>
    <row r="704" spans="1:42" ht="18" customHeight="1" x14ac:dyDescent="0.3">
      <c r="A704" s="7"/>
      <c r="H704" s="53"/>
      <c r="R704" s="53"/>
      <c r="T704" s="53"/>
      <c r="U704" s="53"/>
      <c r="V704" s="53"/>
      <c r="W704" s="53"/>
      <c r="X704" s="53"/>
      <c r="AP704" s="54"/>
    </row>
    <row r="705" spans="1:42" ht="18" customHeight="1" x14ac:dyDescent="0.3">
      <c r="A705" s="7"/>
      <c r="H705" s="53"/>
      <c r="R705" s="53"/>
      <c r="T705" s="53"/>
      <c r="U705" s="53"/>
      <c r="V705" s="53"/>
      <c r="W705" s="53"/>
      <c r="X705" s="53"/>
      <c r="AP705" s="54"/>
    </row>
    <row r="706" spans="1:42" ht="18" customHeight="1" x14ac:dyDescent="0.3">
      <c r="A706" s="7"/>
      <c r="H706" s="53"/>
      <c r="R706" s="53"/>
      <c r="T706" s="53"/>
      <c r="U706" s="53"/>
      <c r="V706" s="53"/>
      <c r="W706" s="53"/>
      <c r="X706" s="53"/>
      <c r="AP706" s="54"/>
    </row>
    <row r="707" spans="1:42" ht="18" customHeight="1" x14ac:dyDescent="0.3">
      <c r="A707" s="7"/>
      <c r="H707" s="53"/>
      <c r="R707" s="53"/>
      <c r="T707" s="53"/>
      <c r="U707" s="53"/>
      <c r="V707" s="53"/>
      <c r="W707" s="53"/>
      <c r="X707" s="53"/>
      <c r="AP707" s="54"/>
    </row>
    <row r="708" spans="1:42" ht="18" customHeight="1" x14ac:dyDescent="0.3">
      <c r="A708" s="7"/>
      <c r="H708" s="53"/>
      <c r="R708" s="53"/>
      <c r="T708" s="53"/>
      <c r="U708" s="53"/>
      <c r="V708" s="53"/>
      <c r="W708" s="53"/>
      <c r="X708" s="53"/>
      <c r="AP708" s="54"/>
    </row>
    <row r="709" spans="1:42" ht="18" customHeight="1" x14ac:dyDescent="0.3">
      <c r="A709" s="7"/>
      <c r="H709" s="53"/>
      <c r="R709" s="53"/>
      <c r="T709" s="53"/>
      <c r="U709" s="53"/>
      <c r="V709" s="53"/>
      <c r="W709" s="53"/>
      <c r="X709" s="53"/>
      <c r="AP709" s="54"/>
    </row>
    <row r="710" spans="1:42" ht="18" customHeight="1" x14ac:dyDescent="0.3">
      <c r="A710" s="7"/>
      <c r="H710" s="53"/>
      <c r="R710" s="53"/>
      <c r="T710" s="53"/>
      <c r="U710" s="53"/>
      <c r="V710" s="53"/>
      <c r="W710" s="53"/>
      <c r="X710" s="53"/>
      <c r="AP710" s="54"/>
    </row>
    <row r="711" spans="1:42" ht="18" customHeight="1" x14ac:dyDescent="0.3">
      <c r="A711" s="7"/>
      <c r="H711" s="53"/>
      <c r="R711" s="53"/>
      <c r="T711" s="53"/>
      <c r="U711" s="53"/>
      <c r="V711" s="53"/>
      <c r="W711" s="53"/>
      <c r="X711" s="53"/>
      <c r="AP711" s="54"/>
    </row>
    <row r="712" spans="1:42" ht="18" customHeight="1" x14ac:dyDescent="0.3">
      <c r="A712" s="7"/>
      <c r="H712" s="53"/>
      <c r="R712" s="53"/>
      <c r="T712" s="53"/>
      <c r="U712" s="53"/>
      <c r="V712" s="53"/>
      <c r="W712" s="53"/>
      <c r="X712" s="53"/>
      <c r="AP712" s="54"/>
    </row>
    <row r="713" spans="1:42" ht="18" customHeight="1" x14ac:dyDescent="0.3">
      <c r="A713" s="7"/>
      <c r="H713" s="53"/>
      <c r="R713" s="53"/>
      <c r="T713" s="53"/>
      <c r="U713" s="53"/>
      <c r="V713" s="53"/>
      <c r="W713" s="53"/>
      <c r="X713" s="53"/>
      <c r="AP713" s="54"/>
    </row>
    <row r="714" spans="1:42" ht="18" customHeight="1" x14ac:dyDescent="0.3">
      <c r="A714" s="7"/>
      <c r="H714" s="53"/>
      <c r="R714" s="53"/>
      <c r="T714" s="53"/>
      <c r="U714" s="53"/>
      <c r="V714" s="53"/>
      <c r="W714" s="53"/>
      <c r="X714" s="53"/>
      <c r="AP714" s="54"/>
    </row>
    <row r="715" spans="1:42" ht="18" customHeight="1" x14ac:dyDescent="0.3">
      <c r="A715" s="7"/>
      <c r="H715" s="53"/>
      <c r="R715" s="53"/>
      <c r="T715" s="53"/>
      <c r="U715" s="53"/>
      <c r="V715" s="53"/>
      <c r="W715" s="53"/>
      <c r="X715" s="53"/>
      <c r="AP715" s="54"/>
    </row>
    <row r="716" spans="1:42" ht="18" customHeight="1" x14ac:dyDescent="0.3">
      <c r="A716" s="7"/>
      <c r="H716" s="53"/>
      <c r="R716" s="53"/>
      <c r="T716" s="53"/>
      <c r="U716" s="53"/>
      <c r="V716" s="53"/>
      <c r="W716" s="53"/>
      <c r="X716" s="53"/>
      <c r="AP716" s="54"/>
    </row>
    <row r="717" spans="1:42" ht="18" customHeight="1" x14ac:dyDescent="0.3">
      <c r="A717" s="7"/>
      <c r="H717" s="53"/>
      <c r="R717" s="53"/>
      <c r="T717" s="53"/>
      <c r="U717" s="53"/>
      <c r="V717" s="53"/>
      <c r="W717" s="53"/>
      <c r="X717" s="53"/>
      <c r="AP717" s="54"/>
    </row>
    <row r="718" spans="1:42" ht="18" customHeight="1" x14ac:dyDescent="0.3">
      <c r="A718" s="7"/>
      <c r="H718" s="53"/>
      <c r="R718" s="53"/>
      <c r="T718" s="53"/>
      <c r="U718" s="53"/>
      <c r="V718" s="53"/>
      <c r="W718" s="53"/>
      <c r="X718" s="53"/>
      <c r="AP718" s="54"/>
    </row>
    <row r="719" spans="1:42" ht="18" customHeight="1" x14ac:dyDescent="0.3">
      <c r="A719" s="7"/>
      <c r="H719" s="53"/>
      <c r="R719" s="53"/>
      <c r="T719" s="53"/>
      <c r="U719" s="53"/>
      <c r="V719" s="53"/>
      <c r="W719" s="53"/>
      <c r="X719" s="53"/>
      <c r="AP719" s="54"/>
    </row>
    <row r="720" spans="1:42" ht="18" customHeight="1" x14ac:dyDescent="0.3">
      <c r="A720" s="7"/>
      <c r="H720" s="53"/>
      <c r="R720" s="53"/>
      <c r="T720" s="53"/>
      <c r="U720" s="53"/>
      <c r="V720" s="53"/>
      <c r="W720" s="53"/>
      <c r="X720" s="53"/>
      <c r="AP720" s="54"/>
    </row>
    <row r="721" spans="1:42" ht="18" customHeight="1" x14ac:dyDescent="0.3">
      <c r="A721" s="7"/>
      <c r="H721" s="53"/>
      <c r="R721" s="53"/>
      <c r="T721" s="53"/>
      <c r="U721" s="53"/>
      <c r="V721" s="53"/>
      <c r="W721" s="53"/>
      <c r="X721" s="53"/>
      <c r="AP721" s="54"/>
    </row>
    <row r="722" spans="1:42" ht="18" customHeight="1" x14ac:dyDescent="0.3">
      <c r="A722" s="7"/>
      <c r="H722" s="53"/>
      <c r="R722" s="53"/>
      <c r="T722" s="53"/>
      <c r="U722" s="53"/>
      <c r="V722" s="53"/>
      <c r="W722" s="53"/>
      <c r="X722" s="53"/>
      <c r="AP722" s="54"/>
    </row>
    <row r="723" spans="1:42" ht="18" customHeight="1" x14ac:dyDescent="0.3">
      <c r="A723" s="7"/>
      <c r="H723" s="53"/>
      <c r="R723" s="53"/>
      <c r="T723" s="53"/>
      <c r="U723" s="53"/>
      <c r="V723" s="53"/>
      <c r="W723" s="53"/>
      <c r="X723" s="53"/>
      <c r="AP723" s="54"/>
    </row>
    <row r="724" spans="1:42" ht="18" customHeight="1" x14ac:dyDescent="0.3">
      <c r="A724" s="7"/>
      <c r="H724" s="53"/>
      <c r="R724" s="53"/>
      <c r="T724" s="53"/>
      <c r="U724" s="53"/>
      <c r="V724" s="53"/>
      <c r="W724" s="53"/>
      <c r="X724" s="53"/>
      <c r="AP724" s="54"/>
    </row>
    <row r="725" spans="1:42" ht="18" customHeight="1" x14ac:dyDescent="0.3">
      <c r="A725" s="7"/>
      <c r="H725" s="53"/>
      <c r="R725" s="53"/>
      <c r="T725" s="53"/>
      <c r="U725" s="53"/>
      <c r="V725" s="53"/>
      <c r="W725" s="53"/>
      <c r="X725" s="53"/>
      <c r="AP725" s="54"/>
    </row>
    <row r="726" spans="1:42" ht="18" customHeight="1" x14ac:dyDescent="0.3">
      <c r="A726" s="7"/>
      <c r="H726" s="53"/>
      <c r="R726" s="53"/>
      <c r="T726" s="53"/>
      <c r="U726" s="53"/>
      <c r="V726" s="53"/>
      <c r="W726" s="53"/>
      <c r="X726" s="53"/>
      <c r="AP726" s="54"/>
    </row>
    <row r="727" spans="1:42" ht="18" customHeight="1" x14ac:dyDescent="0.3">
      <c r="A727" s="7"/>
      <c r="H727" s="53"/>
      <c r="R727" s="53"/>
      <c r="T727" s="53"/>
      <c r="U727" s="53"/>
      <c r="V727" s="53"/>
      <c r="W727" s="53"/>
      <c r="X727" s="53"/>
      <c r="AP727" s="54"/>
    </row>
    <row r="728" spans="1:42" ht="18" customHeight="1" x14ac:dyDescent="0.3">
      <c r="A728" s="7"/>
      <c r="H728" s="53"/>
      <c r="R728" s="53"/>
      <c r="T728" s="53"/>
      <c r="U728" s="53"/>
      <c r="V728" s="53"/>
      <c r="W728" s="53"/>
      <c r="X728" s="53"/>
      <c r="AP728" s="54"/>
    </row>
    <row r="729" spans="1:42" ht="18" customHeight="1" x14ac:dyDescent="0.3">
      <c r="A729" s="7"/>
      <c r="H729" s="53"/>
      <c r="R729" s="53"/>
      <c r="T729" s="53"/>
      <c r="U729" s="53"/>
      <c r="V729" s="53"/>
      <c r="W729" s="53"/>
      <c r="X729" s="53"/>
      <c r="AP729" s="54"/>
    </row>
    <row r="730" spans="1:42" ht="18" customHeight="1" x14ac:dyDescent="0.3">
      <c r="A730" s="7"/>
      <c r="H730" s="53"/>
      <c r="R730" s="53"/>
      <c r="T730" s="53"/>
      <c r="U730" s="53"/>
      <c r="V730" s="53"/>
      <c r="W730" s="53"/>
      <c r="X730" s="53"/>
      <c r="AP730" s="54"/>
    </row>
    <row r="731" spans="1:42" ht="18" customHeight="1" x14ac:dyDescent="0.3">
      <c r="A731" s="7"/>
      <c r="H731" s="53"/>
      <c r="R731" s="53"/>
      <c r="T731" s="53"/>
      <c r="U731" s="53"/>
      <c r="V731" s="53"/>
      <c r="W731" s="53"/>
      <c r="X731" s="53"/>
      <c r="AP731" s="54"/>
    </row>
    <row r="732" spans="1:42" ht="18" customHeight="1" x14ac:dyDescent="0.3">
      <c r="A732" s="7"/>
      <c r="H732" s="53"/>
      <c r="R732" s="53"/>
      <c r="T732" s="53"/>
      <c r="U732" s="53"/>
      <c r="V732" s="53"/>
      <c r="W732" s="53"/>
      <c r="X732" s="53"/>
      <c r="AP732" s="54"/>
    </row>
    <row r="733" spans="1:42" ht="18" customHeight="1" x14ac:dyDescent="0.3">
      <c r="A733" s="7"/>
      <c r="H733" s="53"/>
      <c r="R733" s="53"/>
      <c r="T733" s="53"/>
      <c r="U733" s="53"/>
      <c r="V733" s="53"/>
      <c r="W733" s="53"/>
      <c r="X733" s="53"/>
      <c r="AP733" s="54"/>
    </row>
    <row r="734" spans="1:42" ht="18" customHeight="1" x14ac:dyDescent="0.3">
      <c r="A734" s="7"/>
      <c r="H734" s="53"/>
      <c r="R734" s="53"/>
      <c r="T734" s="53"/>
      <c r="U734" s="53"/>
      <c r="V734" s="53"/>
      <c r="W734" s="53"/>
      <c r="X734" s="53"/>
      <c r="AP734" s="54"/>
    </row>
    <row r="735" spans="1:42" ht="18" customHeight="1" x14ac:dyDescent="0.3">
      <c r="A735" s="7"/>
      <c r="H735" s="53"/>
      <c r="R735" s="53"/>
      <c r="T735" s="53"/>
      <c r="U735" s="53"/>
      <c r="V735" s="53"/>
      <c r="W735" s="53"/>
      <c r="X735" s="53"/>
      <c r="AP735" s="54"/>
    </row>
    <row r="736" spans="1:42" ht="18" customHeight="1" x14ac:dyDescent="0.3">
      <c r="A736" s="7"/>
      <c r="H736" s="53"/>
      <c r="R736" s="53"/>
      <c r="T736" s="53"/>
      <c r="U736" s="53"/>
      <c r="V736" s="53"/>
      <c r="W736" s="53"/>
      <c r="X736" s="53"/>
      <c r="AP736" s="54"/>
    </row>
    <row r="737" spans="1:42" ht="18" customHeight="1" x14ac:dyDescent="0.3">
      <c r="A737" s="7"/>
      <c r="H737" s="53"/>
      <c r="R737" s="53"/>
      <c r="T737" s="53"/>
      <c r="U737" s="53"/>
      <c r="V737" s="53"/>
      <c r="W737" s="53"/>
      <c r="X737" s="53"/>
      <c r="AP737" s="54"/>
    </row>
    <row r="738" spans="1:42" ht="18" customHeight="1" x14ac:dyDescent="0.3">
      <c r="A738" s="7"/>
      <c r="H738" s="53"/>
      <c r="R738" s="53"/>
      <c r="T738" s="53"/>
      <c r="U738" s="53"/>
      <c r="V738" s="53"/>
      <c r="W738" s="53"/>
      <c r="X738" s="53"/>
      <c r="AP738" s="54"/>
    </row>
    <row r="739" spans="1:42" ht="18" customHeight="1" x14ac:dyDescent="0.3">
      <c r="A739" s="7"/>
      <c r="H739" s="53"/>
      <c r="R739" s="53"/>
      <c r="T739" s="53"/>
      <c r="U739" s="53"/>
      <c r="V739" s="53"/>
      <c r="W739" s="53"/>
      <c r="X739" s="53"/>
      <c r="AP739" s="54"/>
    </row>
    <row r="740" spans="1:42" ht="18" customHeight="1" x14ac:dyDescent="0.3">
      <c r="A740" s="7"/>
      <c r="H740" s="53"/>
      <c r="R740" s="53"/>
      <c r="T740" s="53"/>
      <c r="U740" s="53"/>
      <c r="V740" s="53"/>
      <c r="W740" s="53"/>
      <c r="X740" s="53"/>
      <c r="AP740" s="54"/>
    </row>
    <row r="741" spans="1:42" ht="18" customHeight="1" x14ac:dyDescent="0.3">
      <c r="A741" s="7"/>
      <c r="H741" s="53"/>
      <c r="R741" s="53"/>
      <c r="T741" s="53"/>
      <c r="U741" s="53"/>
      <c r="V741" s="53"/>
      <c r="W741" s="53"/>
      <c r="X741" s="53"/>
      <c r="AP741" s="54"/>
    </row>
    <row r="742" spans="1:42" ht="18" customHeight="1" x14ac:dyDescent="0.3">
      <c r="A742" s="7"/>
      <c r="H742" s="53"/>
      <c r="R742" s="53"/>
      <c r="T742" s="53"/>
      <c r="U742" s="53"/>
      <c r="V742" s="53"/>
      <c r="W742" s="53"/>
      <c r="X742" s="53"/>
      <c r="AP742" s="54"/>
    </row>
    <row r="743" spans="1:42" ht="18" customHeight="1" x14ac:dyDescent="0.3">
      <c r="A743" s="7"/>
      <c r="H743" s="53"/>
      <c r="R743" s="53"/>
      <c r="T743" s="53"/>
      <c r="U743" s="53"/>
      <c r="V743" s="53"/>
      <c r="W743" s="53"/>
      <c r="X743" s="53"/>
      <c r="AP743" s="54"/>
    </row>
    <row r="744" spans="1:42" ht="18" customHeight="1" x14ac:dyDescent="0.3">
      <c r="A744" s="7"/>
      <c r="H744" s="53"/>
      <c r="R744" s="53"/>
      <c r="T744" s="53"/>
      <c r="U744" s="53"/>
      <c r="V744" s="53"/>
      <c r="W744" s="53"/>
      <c r="X744" s="53"/>
      <c r="AP744" s="54"/>
    </row>
    <row r="745" spans="1:42" ht="18" customHeight="1" x14ac:dyDescent="0.3">
      <c r="A745" s="7"/>
      <c r="H745" s="53"/>
      <c r="R745" s="53"/>
      <c r="T745" s="53"/>
      <c r="U745" s="53"/>
      <c r="V745" s="53"/>
      <c r="W745" s="53"/>
      <c r="X745" s="53"/>
      <c r="AP745" s="54"/>
    </row>
    <row r="746" spans="1:42" ht="18" customHeight="1" x14ac:dyDescent="0.3">
      <c r="A746" s="7"/>
      <c r="H746" s="53"/>
      <c r="R746" s="53"/>
      <c r="T746" s="53"/>
      <c r="U746" s="53"/>
      <c r="V746" s="53"/>
      <c r="W746" s="53"/>
      <c r="X746" s="53"/>
      <c r="AP746" s="54"/>
    </row>
    <row r="747" spans="1:42" ht="18" customHeight="1" x14ac:dyDescent="0.3">
      <c r="A747" s="7"/>
      <c r="H747" s="53"/>
      <c r="R747" s="53"/>
      <c r="T747" s="53"/>
      <c r="U747" s="53"/>
      <c r="V747" s="53"/>
      <c r="W747" s="53"/>
      <c r="X747" s="53"/>
      <c r="AP747" s="54"/>
    </row>
    <row r="748" spans="1:42" ht="18" customHeight="1" x14ac:dyDescent="0.3">
      <c r="A748" s="7"/>
      <c r="H748" s="53"/>
      <c r="R748" s="53"/>
      <c r="T748" s="53"/>
      <c r="U748" s="53"/>
      <c r="V748" s="53"/>
      <c r="W748" s="53"/>
      <c r="X748" s="53"/>
      <c r="AP748" s="54"/>
    </row>
    <row r="749" spans="1:42" ht="18" customHeight="1" x14ac:dyDescent="0.3">
      <c r="A749" s="7"/>
      <c r="H749" s="53"/>
      <c r="R749" s="53"/>
      <c r="T749" s="53"/>
      <c r="U749" s="53"/>
      <c r="V749" s="53"/>
      <c r="W749" s="53"/>
      <c r="X749" s="53"/>
      <c r="AP749" s="54"/>
    </row>
    <row r="750" spans="1:42" ht="18" customHeight="1" x14ac:dyDescent="0.3">
      <c r="A750" s="7"/>
      <c r="H750" s="53"/>
      <c r="R750" s="53"/>
      <c r="T750" s="53"/>
      <c r="U750" s="53"/>
      <c r="V750" s="53"/>
      <c r="W750" s="53"/>
      <c r="X750" s="53"/>
      <c r="AP750" s="54"/>
    </row>
    <row r="751" spans="1:42" ht="18" customHeight="1" x14ac:dyDescent="0.3">
      <c r="A751" s="7"/>
      <c r="H751" s="53"/>
      <c r="R751" s="53"/>
      <c r="T751" s="53"/>
      <c r="U751" s="53"/>
      <c r="V751" s="53"/>
      <c r="W751" s="53"/>
      <c r="X751" s="53"/>
      <c r="AP751" s="54"/>
    </row>
    <row r="752" spans="1:42" ht="18" customHeight="1" x14ac:dyDescent="0.3">
      <c r="A752" s="7"/>
      <c r="H752" s="53"/>
      <c r="R752" s="53"/>
      <c r="T752" s="53"/>
      <c r="U752" s="53"/>
      <c r="V752" s="53"/>
      <c r="W752" s="53"/>
      <c r="X752" s="53"/>
      <c r="AP752" s="54"/>
    </row>
    <row r="753" spans="1:42" ht="18" customHeight="1" x14ac:dyDescent="0.3">
      <c r="A753" s="7"/>
      <c r="H753" s="53"/>
      <c r="R753" s="53"/>
      <c r="T753" s="53"/>
      <c r="U753" s="53"/>
      <c r="V753" s="53"/>
      <c r="W753" s="53"/>
      <c r="X753" s="53"/>
      <c r="AP753" s="54"/>
    </row>
    <row r="754" spans="1:42" ht="18" customHeight="1" x14ac:dyDescent="0.3">
      <c r="A754" s="7"/>
      <c r="H754" s="53"/>
      <c r="R754" s="53"/>
      <c r="T754" s="53"/>
      <c r="U754" s="53"/>
      <c r="V754" s="53"/>
      <c r="W754" s="53"/>
      <c r="X754" s="53"/>
      <c r="AP754" s="54"/>
    </row>
    <row r="755" spans="1:42" ht="18" customHeight="1" x14ac:dyDescent="0.3">
      <c r="A755" s="7"/>
      <c r="H755" s="53"/>
      <c r="R755" s="53"/>
      <c r="T755" s="53"/>
      <c r="U755" s="53"/>
      <c r="V755" s="53"/>
      <c r="W755" s="53"/>
      <c r="X755" s="53"/>
      <c r="AP755" s="54"/>
    </row>
    <row r="756" spans="1:42" ht="18" customHeight="1" x14ac:dyDescent="0.3">
      <c r="A756" s="7"/>
      <c r="H756" s="53"/>
      <c r="R756" s="53"/>
      <c r="T756" s="53"/>
      <c r="U756" s="53"/>
      <c r="V756" s="53"/>
      <c r="W756" s="53"/>
      <c r="X756" s="53"/>
      <c r="AP756" s="54"/>
    </row>
    <row r="757" spans="1:42" ht="18" customHeight="1" x14ac:dyDescent="0.3">
      <c r="A757" s="7"/>
      <c r="H757" s="53"/>
      <c r="R757" s="53"/>
      <c r="T757" s="53"/>
      <c r="U757" s="53"/>
      <c r="V757" s="53"/>
      <c r="W757" s="53"/>
      <c r="X757" s="53"/>
      <c r="AP757" s="54"/>
    </row>
    <row r="758" spans="1:42" ht="18" customHeight="1" x14ac:dyDescent="0.3">
      <c r="A758" s="7"/>
      <c r="H758" s="53"/>
      <c r="R758" s="53"/>
      <c r="T758" s="53"/>
      <c r="U758" s="53"/>
      <c r="V758" s="53"/>
      <c r="W758" s="53"/>
      <c r="X758" s="53"/>
      <c r="AP758" s="54"/>
    </row>
    <row r="759" spans="1:42" ht="18" customHeight="1" x14ac:dyDescent="0.3">
      <c r="A759" s="7"/>
      <c r="H759" s="53"/>
      <c r="R759" s="53"/>
      <c r="T759" s="53"/>
      <c r="U759" s="53"/>
      <c r="V759" s="53"/>
      <c r="W759" s="53"/>
      <c r="X759" s="53"/>
      <c r="AP759" s="54"/>
    </row>
    <row r="760" spans="1:42" ht="18" customHeight="1" x14ac:dyDescent="0.3">
      <c r="A760" s="7"/>
      <c r="H760" s="53"/>
      <c r="R760" s="53"/>
      <c r="T760" s="53"/>
      <c r="U760" s="53"/>
      <c r="V760" s="53"/>
      <c r="W760" s="53"/>
      <c r="X760" s="53"/>
      <c r="AP760" s="54"/>
    </row>
    <row r="761" spans="1:42" ht="18" customHeight="1" x14ac:dyDescent="0.3">
      <c r="A761" s="7"/>
      <c r="H761" s="53"/>
      <c r="R761" s="53"/>
      <c r="T761" s="53"/>
      <c r="U761" s="53"/>
      <c r="V761" s="53"/>
      <c r="W761" s="53"/>
      <c r="X761" s="53"/>
      <c r="AP761" s="54"/>
    </row>
    <row r="762" spans="1:42" ht="18" customHeight="1" x14ac:dyDescent="0.3">
      <c r="A762" s="7"/>
      <c r="H762" s="53"/>
      <c r="R762" s="53"/>
      <c r="T762" s="53"/>
      <c r="U762" s="53"/>
      <c r="V762" s="53"/>
      <c r="W762" s="53"/>
      <c r="X762" s="53"/>
      <c r="AP762" s="54"/>
    </row>
    <row r="763" spans="1:42" ht="18" customHeight="1" x14ac:dyDescent="0.3">
      <c r="A763" s="7"/>
      <c r="H763" s="53"/>
      <c r="R763" s="53"/>
      <c r="T763" s="53"/>
      <c r="U763" s="53"/>
      <c r="V763" s="53"/>
      <c r="W763" s="53"/>
      <c r="X763" s="53"/>
      <c r="AP763" s="54"/>
    </row>
    <row r="764" spans="1:42" ht="18" customHeight="1" x14ac:dyDescent="0.3">
      <c r="A764" s="7"/>
      <c r="H764" s="53"/>
      <c r="R764" s="53"/>
      <c r="T764" s="53"/>
      <c r="U764" s="53"/>
      <c r="V764" s="53"/>
      <c r="W764" s="53"/>
      <c r="X764" s="53"/>
      <c r="AP764" s="54"/>
    </row>
    <row r="765" spans="1:42" ht="18" customHeight="1" x14ac:dyDescent="0.3">
      <c r="A765" s="7"/>
      <c r="H765" s="53"/>
      <c r="R765" s="53"/>
      <c r="T765" s="53"/>
      <c r="U765" s="53"/>
      <c r="V765" s="53"/>
      <c r="W765" s="53"/>
      <c r="X765" s="53"/>
      <c r="AP765" s="54"/>
    </row>
    <row r="766" spans="1:42" ht="18" customHeight="1" x14ac:dyDescent="0.3">
      <c r="A766" s="7"/>
      <c r="H766" s="53"/>
      <c r="R766" s="53"/>
      <c r="T766" s="53"/>
      <c r="U766" s="53"/>
      <c r="V766" s="53"/>
      <c r="W766" s="53"/>
      <c r="X766" s="53"/>
      <c r="AP766" s="54"/>
    </row>
    <row r="767" spans="1:42" ht="18" customHeight="1" x14ac:dyDescent="0.3">
      <c r="A767" s="7"/>
      <c r="H767" s="53"/>
      <c r="R767" s="53"/>
      <c r="T767" s="53"/>
      <c r="U767" s="53"/>
      <c r="V767" s="53"/>
      <c r="W767" s="53"/>
      <c r="X767" s="53"/>
      <c r="AP767" s="54"/>
    </row>
    <row r="768" spans="1:42" ht="18" customHeight="1" x14ac:dyDescent="0.3">
      <c r="A768" s="7"/>
      <c r="H768" s="53"/>
      <c r="R768" s="53"/>
      <c r="T768" s="53"/>
      <c r="U768" s="53"/>
      <c r="V768" s="53"/>
      <c r="W768" s="53"/>
      <c r="X768" s="53"/>
      <c r="AP768" s="54"/>
    </row>
    <row r="769" spans="1:42" ht="18" customHeight="1" x14ac:dyDescent="0.3">
      <c r="A769" s="7"/>
      <c r="H769" s="53"/>
      <c r="R769" s="53"/>
      <c r="T769" s="53"/>
      <c r="U769" s="53"/>
      <c r="V769" s="53"/>
      <c r="W769" s="53"/>
      <c r="X769" s="53"/>
      <c r="AP769" s="54"/>
    </row>
    <row r="770" spans="1:42" ht="18" customHeight="1" x14ac:dyDescent="0.3">
      <c r="A770" s="7"/>
      <c r="H770" s="53"/>
      <c r="R770" s="53"/>
      <c r="T770" s="53"/>
      <c r="U770" s="53"/>
      <c r="V770" s="53"/>
      <c r="W770" s="53"/>
      <c r="X770" s="53"/>
      <c r="AP770" s="54"/>
    </row>
    <row r="771" spans="1:42" ht="18" customHeight="1" x14ac:dyDescent="0.3">
      <c r="A771" s="7"/>
      <c r="H771" s="53"/>
      <c r="R771" s="53"/>
      <c r="T771" s="53"/>
      <c r="U771" s="53"/>
      <c r="V771" s="53"/>
      <c r="W771" s="53"/>
      <c r="X771" s="53"/>
      <c r="AP771" s="54"/>
    </row>
    <row r="772" spans="1:42" ht="18" customHeight="1" x14ac:dyDescent="0.3">
      <c r="A772" s="7"/>
      <c r="H772" s="53"/>
      <c r="R772" s="53"/>
      <c r="T772" s="53"/>
      <c r="U772" s="53"/>
      <c r="V772" s="53"/>
      <c r="W772" s="53"/>
      <c r="X772" s="53"/>
      <c r="AP772" s="54"/>
    </row>
    <row r="773" spans="1:42" ht="18" customHeight="1" x14ac:dyDescent="0.3">
      <c r="A773" s="7"/>
      <c r="H773" s="53"/>
      <c r="R773" s="53"/>
      <c r="T773" s="53"/>
      <c r="U773" s="53"/>
      <c r="V773" s="53"/>
      <c r="W773" s="53"/>
      <c r="X773" s="53"/>
      <c r="AP773" s="54"/>
    </row>
    <row r="774" spans="1:42" ht="18" customHeight="1" x14ac:dyDescent="0.3">
      <c r="A774" s="7"/>
      <c r="H774" s="53"/>
      <c r="R774" s="53"/>
      <c r="T774" s="53"/>
      <c r="U774" s="53"/>
      <c r="V774" s="53"/>
      <c r="W774" s="53"/>
      <c r="X774" s="53"/>
      <c r="AP774" s="54"/>
    </row>
    <row r="775" spans="1:42" ht="18" customHeight="1" x14ac:dyDescent="0.3">
      <c r="A775" s="7"/>
      <c r="H775" s="53"/>
      <c r="R775" s="53"/>
      <c r="T775" s="53"/>
      <c r="U775" s="53"/>
      <c r="V775" s="53"/>
      <c r="W775" s="53"/>
      <c r="X775" s="53"/>
      <c r="AP775" s="54"/>
    </row>
    <row r="776" spans="1:42" ht="18" customHeight="1" x14ac:dyDescent="0.3">
      <c r="A776" s="7"/>
      <c r="H776" s="53"/>
      <c r="R776" s="53"/>
      <c r="T776" s="53"/>
      <c r="U776" s="53"/>
      <c r="V776" s="53"/>
      <c r="W776" s="53"/>
      <c r="X776" s="53"/>
      <c r="AP776" s="54"/>
    </row>
    <row r="777" spans="1:42" ht="18" customHeight="1" x14ac:dyDescent="0.3">
      <c r="A777" s="7"/>
      <c r="H777" s="53"/>
      <c r="R777" s="53"/>
      <c r="T777" s="53"/>
      <c r="U777" s="53"/>
      <c r="V777" s="53"/>
      <c r="W777" s="53"/>
      <c r="X777" s="53"/>
      <c r="AP777" s="54"/>
    </row>
    <row r="778" spans="1:42" ht="18" customHeight="1" x14ac:dyDescent="0.3">
      <c r="A778" s="7"/>
      <c r="H778" s="53"/>
      <c r="R778" s="53"/>
      <c r="T778" s="53"/>
      <c r="U778" s="53"/>
      <c r="V778" s="53"/>
      <c r="W778" s="53"/>
      <c r="X778" s="53"/>
      <c r="AP778" s="54"/>
    </row>
    <row r="779" spans="1:42" ht="18" customHeight="1" x14ac:dyDescent="0.3">
      <c r="A779" s="7"/>
      <c r="H779" s="53"/>
      <c r="R779" s="53"/>
      <c r="T779" s="53"/>
      <c r="U779" s="53"/>
      <c r="V779" s="53"/>
      <c r="W779" s="53"/>
      <c r="X779" s="53"/>
      <c r="AP779" s="54"/>
    </row>
    <row r="780" spans="1:42" ht="18" customHeight="1" x14ac:dyDescent="0.3">
      <c r="A780" s="7"/>
      <c r="H780" s="53"/>
      <c r="R780" s="53"/>
      <c r="T780" s="53"/>
      <c r="U780" s="53"/>
      <c r="V780" s="53"/>
      <c r="W780" s="53"/>
      <c r="X780" s="53"/>
      <c r="AP780" s="54"/>
    </row>
    <row r="781" spans="1:42" ht="18" customHeight="1" x14ac:dyDescent="0.3">
      <c r="A781" s="7"/>
      <c r="H781" s="53"/>
      <c r="R781" s="53"/>
      <c r="T781" s="53"/>
      <c r="U781" s="53"/>
      <c r="V781" s="53"/>
      <c r="W781" s="53"/>
      <c r="X781" s="53"/>
      <c r="AP781" s="54"/>
    </row>
    <row r="782" spans="1:42" ht="18" customHeight="1" x14ac:dyDescent="0.3">
      <c r="A782" s="7"/>
      <c r="H782" s="53"/>
      <c r="R782" s="53"/>
      <c r="T782" s="53"/>
      <c r="U782" s="53"/>
      <c r="V782" s="53"/>
      <c r="W782" s="53"/>
      <c r="X782" s="53"/>
      <c r="AP782" s="54"/>
    </row>
    <row r="783" spans="1:42" ht="18" customHeight="1" x14ac:dyDescent="0.3">
      <c r="A783" s="7"/>
      <c r="H783" s="53"/>
      <c r="R783" s="53"/>
      <c r="T783" s="53"/>
      <c r="U783" s="53"/>
      <c r="V783" s="53"/>
      <c r="W783" s="53"/>
      <c r="X783" s="53"/>
      <c r="AP783" s="54"/>
    </row>
    <row r="784" spans="1:42" ht="18" customHeight="1" x14ac:dyDescent="0.3">
      <c r="A784" s="7"/>
      <c r="H784" s="53"/>
      <c r="R784" s="53"/>
      <c r="T784" s="53"/>
      <c r="U784" s="53"/>
      <c r="V784" s="53"/>
      <c r="W784" s="53"/>
      <c r="X784" s="53"/>
      <c r="AP784" s="54"/>
    </row>
    <row r="785" spans="1:42" ht="18" customHeight="1" x14ac:dyDescent="0.3">
      <c r="A785" s="7"/>
      <c r="H785" s="53"/>
      <c r="R785" s="53"/>
      <c r="T785" s="53"/>
      <c r="U785" s="53"/>
      <c r="V785" s="53"/>
      <c r="W785" s="53"/>
      <c r="X785" s="53"/>
      <c r="AP785" s="54"/>
    </row>
    <row r="786" spans="1:42" ht="18" customHeight="1" x14ac:dyDescent="0.3">
      <c r="A786" s="7"/>
      <c r="H786" s="53"/>
      <c r="R786" s="53"/>
      <c r="T786" s="53"/>
      <c r="U786" s="53"/>
      <c r="V786" s="53"/>
      <c r="W786" s="53"/>
      <c r="X786" s="53"/>
      <c r="AP786" s="54"/>
    </row>
    <row r="787" spans="1:42" ht="18" customHeight="1" x14ac:dyDescent="0.3">
      <c r="A787" s="7"/>
      <c r="H787" s="53"/>
      <c r="R787" s="53"/>
      <c r="T787" s="53"/>
      <c r="U787" s="53"/>
      <c r="V787" s="53"/>
      <c r="W787" s="53"/>
      <c r="X787" s="53"/>
      <c r="AP787" s="54"/>
    </row>
    <row r="788" spans="1:42" ht="18" customHeight="1" x14ac:dyDescent="0.3">
      <c r="A788" s="7"/>
      <c r="H788" s="53"/>
      <c r="R788" s="53"/>
      <c r="T788" s="53"/>
      <c r="U788" s="53"/>
      <c r="V788" s="53"/>
      <c r="W788" s="53"/>
      <c r="X788" s="53"/>
      <c r="AP788" s="54"/>
    </row>
    <row r="789" spans="1:42" ht="18" customHeight="1" x14ac:dyDescent="0.3">
      <c r="A789" s="7"/>
      <c r="H789" s="53"/>
      <c r="R789" s="53"/>
      <c r="T789" s="53"/>
      <c r="U789" s="53"/>
      <c r="V789" s="53"/>
      <c r="W789" s="53"/>
      <c r="X789" s="53"/>
      <c r="AP789" s="54"/>
    </row>
    <row r="790" spans="1:42" ht="18" customHeight="1" x14ac:dyDescent="0.3">
      <c r="A790" s="7"/>
      <c r="H790" s="53"/>
      <c r="R790" s="53"/>
      <c r="T790" s="53"/>
      <c r="U790" s="53"/>
      <c r="V790" s="53"/>
      <c r="W790" s="53"/>
      <c r="X790" s="53"/>
      <c r="AP790" s="54"/>
    </row>
    <row r="791" spans="1:42" ht="18" customHeight="1" x14ac:dyDescent="0.3">
      <c r="A791" s="7"/>
      <c r="H791" s="53"/>
      <c r="R791" s="53"/>
      <c r="T791" s="53"/>
      <c r="U791" s="53"/>
      <c r="V791" s="53"/>
      <c r="W791" s="53"/>
      <c r="X791" s="53"/>
      <c r="AP791" s="54"/>
    </row>
    <row r="792" spans="1:42" ht="18" customHeight="1" x14ac:dyDescent="0.3">
      <c r="A792" s="7"/>
      <c r="H792" s="53"/>
      <c r="R792" s="53"/>
      <c r="T792" s="53"/>
      <c r="U792" s="53"/>
      <c r="V792" s="53"/>
      <c r="W792" s="53"/>
      <c r="X792" s="53"/>
      <c r="AP792" s="54"/>
    </row>
    <row r="793" spans="1:42" ht="18" customHeight="1" x14ac:dyDescent="0.3">
      <c r="A793" s="7"/>
      <c r="H793" s="53"/>
      <c r="R793" s="53"/>
      <c r="T793" s="53"/>
      <c r="U793" s="53"/>
      <c r="V793" s="53"/>
      <c r="W793" s="53"/>
      <c r="X793" s="53"/>
      <c r="AP793" s="54"/>
    </row>
    <row r="794" spans="1:42" ht="18" customHeight="1" x14ac:dyDescent="0.3">
      <c r="A794" s="7"/>
      <c r="H794" s="53"/>
      <c r="R794" s="53"/>
      <c r="T794" s="53"/>
      <c r="U794" s="53"/>
      <c r="V794" s="53"/>
      <c r="W794" s="53"/>
      <c r="X794" s="53"/>
      <c r="AP794" s="54"/>
    </row>
    <row r="795" spans="1:42" ht="18" customHeight="1" x14ac:dyDescent="0.3">
      <c r="A795" s="7"/>
      <c r="H795" s="53"/>
      <c r="R795" s="53"/>
      <c r="T795" s="53"/>
      <c r="U795" s="53"/>
      <c r="V795" s="53"/>
      <c r="W795" s="53"/>
      <c r="X795" s="53"/>
      <c r="AP795" s="54"/>
    </row>
    <row r="796" spans="1:42" ht="18" customHeight="1" x14ac:dyDescent="0.3">
      <c r="A796" s="7"/>
      <c r="H796" s="53"/>
      <c r="R796" s="53"/>
      <c r="T796" s="53"/>
      <c r="U796" s="53"/>
      <c r="V796" s="53"/>
      <c r="W796" s="53"/>
      <c r="X796" s="53"/>
      <c r="AP796" s="54"/>
    </row>
    <row r="797" spans="1:42" ht="18" customHeight="1" x14ac:dyDescent="0.3">
      <c r="A797" s="7"/>
      <c r="H797" s="53"/>
      <c r="R797" s="53"/>
      <c r="T797" s="53"/>
      <c r="U797" s="53"/>
      <c r="V797" s="53"/>
      <c r="W797" s="53"/>
      <c r="X797" s="53"/>
      <c r="AP797" s="54"/>
    </row>
    <row r="798" spans="1:42" ht="18" customHeight="1" x14ac:dyDescent="0.3">
      <c r="A798" s="7"/>
      <c r="H798" s="53"/>
      <c r="R798" s="53"/>
      <c r="T798" s="53"/>
      <c r="U798" s="53"/>
      <c r="V798" s="53"/>
      <c r="W798" s="53"/>
      <c r="X798" s="53"/>
      <c r="AP798" s="54"/>
    </row>
    <row r="799" spans="1:42" ht="18" customHeight="1" x14ac:dyDescent="0.3">
      <c r="A799" s="7"/>
      <c r="H799" s="53"/>
      <c r="R799" s="53"/>
      <c r="T799" s="53"/>
      <c r="U799" s="53"/>
      <c r="V799" s="53"/>
      <c r="W799" s="53"/>
      <c r="X799" s="53"/>
      <c r="AP799" s="54"/>
    </row>
    <row r="800" spans="1:42" ht="18" customHeight="1" x14ac:dyDescent="0.3">
      <c r="A800" s="7"/>
      <c r="H800" s="53"/>
      <c r="R800" s="53"/>
      <c r="T800" s="53"/>
      <c r="U800" s="53"/>
      <c r="V800" s="53"/>
      <c r="W800" s="53"/>
      <c r="X800" s="53"/>
      <c r="AP800" s="54"/>
    </row>
    <row r="801" spans="1:42" ht="18" customHeight="1" x14ac:dyDescent="0.3">
      <c r="A801" s="7"/>
      <c r="H801" s="53"/>
      <c r="R801" s="53"/>
      <c r="T801" s="53"/>
      <c r="U801" s="53"/>
      <c r="V801" s="53"/>
      <c r="W801" s="53"/>
      <c r="X801" s="53"/>
      <c r="AP801" s="54"/>
    </row>
    <row r="802" spans="1:42" ht="18" customHeight="1" x14ac:dyDescent="0.3">
      <c r="A802" s="7"/>
      <c r="H802" s="53"/>
      <c r="R802" s="53"/>
      <c r="T802" s="53"/>
      <c r="U802" s="53"/>
      <c r="V802" s="53"/>
      <c r="W802" s="53"/>
      <c r="X802" s="53"/>
      <c r="AP802" s="54"/>
    </row>
    <row r="803" spans="1:42" ht="18" customHeight="1" x14ac:dyDescent="0.3">
      <c r="A803" s="7"/>
      <c r="H803" s="53"/>
      <c r="R803" s="53"/>
      <c r="T803" s="53"/>
      <c r="U803" s="53"/>
      <c r="V803" s="53"/>
      <c r="W803" s="53"/>
      <c r="X803" s="53"/>
      <c r="AP803" s="54"/>
    </row>
    <row r="804" spans="1:42" ht="18" customHeight="1" x14ac:dyDescent="0.3">
      <c r="A804" s="7"/>
      <c r="H804" s="53"/>
      <c r="R804" s="53"/>
      <c r="T804" s="53"/>
      <c r="U804" s="53"/>
      <c r="V804" s="53"/>
      <c r="W804" s="53"/>
      <c r="X804" s="53"/>
      <c r="AP804" s="54"/>
    </row>
    <row r="805" spans="1:42" ht="18" customHeight="1" x14ac:dyDescent="0.3">
      <c r="A805" s="7"/>
      <c r="H805" s="53"/>
      <c r="R805" s="53"/>
      <c r="T805" s="53"/>
      <c r="U805" s="53"/>
      <c r="V805" s="53"/>
      <c r="W805" s="53"/>
      <c r="X805" s="53"/>
      <c r="AP805" s="54"/>
    </row>
    <row r="806" spans="1:42" ht="18" customHeight="1" x14ac:dyDescent="0.3">
      <c r="A806" s="7"/>
      <c r="H806" s="53"/>
      <c r="R806" s="53"/>
      <c r="T806" s="53"/>
      <c r="U806" s="53"/>
      <c r="V806" s="53"/>
      <c r="W806" s="53"/>
      <c r="X806" s="53"/>
      <c r="AP806" s="54"/>
    </row>
    <row r="807" spans="1:42" ht="18" customHeight="1" x14ac:dyDescent="0.3">
      <c r="A807" s="7"/>
      <c r="H807" s="53"/>
      <c r="R807" s="53"/>
      <c r="T807" s="53"/>
      <c r="U807" s="53"/>
      <c r="V807" s="53"/>
      <c r="W807" s="53"/>
      <c r="X807" s="53"/>
      <c r="AP807" s="54"/>
    </row>
    <row r="808" spans="1:42" ht="18" customHeight="1" x14ac:dyDescent="0.3">
      <c r="A808" s="7"/>
      <c r="H808" s="53"/>
      <c r="R808" s="53"/>
      <c r="T808" s="53"/>
      <c r="U808" s="53"/>
      <c r="V808" s="53"/>
      <c r="W808" s="53"/>
      <c r="X808" s="53"/>
      <c r="AP808" s="54"/>
    </row>
    <row r="809" spans="1:42" ht="18" customHeight="1" x14ac:dyDescent="0.3">
      <c r="A809" s="7"/>
      <c r="H809" s="53"/>
      <c r="R809" s="53"/>
      <c r="T809" s="53"/>
      <c r="U809" s="53"/>
      <c r="V809" s="53"/>
      <c r="W809" s="53"/>
      <c r="X809" s="53"/>
      <c r="AP809" s="54"/>
    </row>
    <row r="810" spans="1:42" ht="18" customHeight="1" x14ac:dyDescent="0.3">
      <c r="A810" s="7"/>
      <c r="H810" s="53"/>
      <c r="R810" s="53"/>
      <c r="T810" s="53"/>
      <c r="U810" s="53"/>
      <c r="V810" s="53"/>
      <c r="W810" s="53"/>
      <c r="X810" s="53"/>
      <c r="AP810" s="54"/>
    </row>
    <row r="811" spans="1:42" ht="18" customHeight="1" x14ac:dyDescent="0.3">
      <c r="A811" s="7"/>
      <c r="H811" s="53"/>
      <c r="R811" s="53"/>
      <c r="T811" s="53"/>
      <c r="U811" s="53"/>
      <c r="V811" s="53"/>
      <c r="W811" s="53"/>
      <c r="X811" s="53"/>
      <c r="AP811" s="54"/>
    </row>
    <row r="812" spans="1:42" ht="18" customHeight="1" x14ac:dyDescent="0.3">
      <c r="A812" s="7"/>
      <c r="H812" s="53"/>
      <c r="R812" s="53"/>
      <c r="T812" s="53"/>
      <c r="U812" s="53"/>
      <c r="V812" s="53"/>
      <c r="W812" s="53"/>
      <c r="X812" s="53"/>
      <c r="AP812" s="54"/>
    </row>
    <row r="813" spans="1:42" ht="18" customHeight="1" x14ac:dyDescent="0.3">
      <c r="A813" s="7"/>
      <c r="H813" s="53"/>
      <c r="R813" s="53"/>
      <c r="T813" s="53"/>
      <c r="U813" s="53"/>
      <c r="V813" s="53"/>
      <c r="W813" s="53"/>
      <c r="X813" s="53"/>
      <c r="AP813" s="54"/>
    </row>
    <row r="814" spans="1:42" ht="18" customHeight="1" x14ac:dyDescent="0.3">
      <c r="A814" s="7"/>
      <c r="H814" s="53"/>
      <c r="R814" s="53"/>
      <c r="T814" s="53"/>
      <c r="U814" s="53"/>
      <c r="V814" s="53"/>
      <c r="W814" s="53"/>
      <c r="X814" s="53"/>
      <c r="AP814" s="54"/>
    </row>
    <row r="815" spans="1:42" ht="18" customHeight="1" x14ac:dyDescent="0.3">
      <c r="A815" s="7"/>
      <c r="H815" s="53"/>
      <c r="R815" s="53"/>
      <c r="T815" s="53"/>
      <c r="U815" s="53"/>
      <c r="V815" s="53"/>
      <c r="W815" s="53"/>
      <c r="X815" s="53"/>
      <c r="AP815" s="54"/>
    </row>
    <row r="816" spans="1:42" ht="18" customHeight="1" x14ac:dyDescent="0.3">
      <c r="A816" s="7"/>
      <c r="H816" s="53"/>
      <c r="R816" s="53"/>
      <c r="T816" s="53"/>
      <c r="U816" s="53"/>
      <c r="V816" s="53"/>
      <c r="W816" s="53"/>
      <c r="X816" s="53"/>
      <c r="AP816" s="54"/>
    </row>
    <row r="817" spans="1:42" ht="18" customHeight="1" x14ac:dyDescent="0.3">
      <c r="A817" s="7"/>
      <c r="H817" s="53"/>
      <c r="R817" s="53"/>
      <c r="T817" s="53"/>
      <c r="U817" s="53"/>
      <c r="V817" s="53"/>
      <c r="W817" s="53"/>
      <c r="X817" s="53"/>
      <c r="AP817" s="54"/>
    </row>
    <row r="818" spans="1:42" ht="18" customHeight="1" x14ac:dyDescent="0.3">
      <c r="A818" s="7"/>
      <c r="H818" s="53"/>
      <c r="R818" s="53"/>
      <c r="T818" s="53"/>
      <c r="U818" s="53"/>
      <c r="V818" s="53"/>
      <c r="W818" s="53"/>
      <c r="X818" s="53"/>
      <c r="AP818" s="54"/>
    </row>
    <row r="819" spans="1:42" ht="18" customHeight="1" x14ac:dyDescent="0.3">
      <c r="A819" s="7"/>
      <c r="H819" s="53"/>
      <c r="R819" s="53"/>
      <c r="T819" s="53"/>
      <c r="U819" s="53"/>
      <c r="V819" s="53"/>
      <c r="W819" s="53"/>
      <c r="X819" s="53"/>
      <c r="AP819" s="54"/>
    </row>
    <row r="820" spans="1:42" ht="18" customHeight="1" x14ac:dyDescent="0.3">
      <c r="A820" s="7"/>
      <c r="H820" s="53"/>
      <c r="R820" s="53"/>
      <c r="T820" s="53"/>
      <c r="U820" s="53"/>
      <c r="V820" s="53"/>
      <c r="W820" s="53"/>
      <c r="X820" s="53"/>
      <c r="AP820" s="54"/>
    </row>
    <row r="821" spans="1:42" ht="18" customHeight="1" x14ac:dyDescent="0.3">
      <c r="A821" s="7"/>
      <c r="H821" s="53"/>
      <c r="R821" s="53"/>
      <c r="T821" s="53"/>
      <c r="U821" s="53"/>
      <c r="V821" s="53"/>
      <c r="W821" s="53"/>
      <c r="X821" s="53"/>
      <c r="AP821" s="54"/>
    </row>
    <row r="822" spans="1:42" ht="18" customHeight="1" x14ac:dyDescent="0.3">
      <c r="A822" s="7"/>
      <c r="H822" s="53"/>
      <c r="R822" s="53"/>
      <c r="T822" s="53"/>
      <c r="U822" s="53"/>
      <c r="V822" s="53"/>
      <c r="W822" s="53"/>
      <c r="X822" s="53"/>
      <c r="AP822" s="54"/>
    </row>
    <row r="823" spans="1:42" ht="18" customHeight="1" x14ac:dyDescent="0.3">
      <c r="A823" s="7"/>
      <c r="H823" s="53"/>
      <c r="R823" s="53"/>
      <c r="T823" s="53"/>
      <c r="U823" s="53"/>
      <c r="V823" s="53"/>
      <c r="W823" s="53"/>
      <c r="X823" s="53"/>
      <c r="AP823" s="54"/>
    </row>
    <row r="824" spans="1:42" ht="18" customHeight="1" x14ac:dyDescent="0.3">
      <c r="A824" s="7"/>
      <c r="H824" s="53"/>
      <c r="R824" s="53"/>
      <c r="T824" s="53"/>
      <c r="U824" s="53"/>
      <c r="V824" s="53"/>
      <c r="W824" s="53"/>
      <c r="X824" s="53"/>
      <c r="AP824" s="54"/>
    </row>
    <row r="825" spans="1:42" ht="18" customHeight="1" x14ac:dyDescent="0.3">
      <c r="A825" s="7"/>
      <c r="H825" s="53"/>
      <c r="R825" s="53"/>
      <c r="T825" s="53"/>
      <c r="U825" s="53"/>
      <c r="V825" s="53"/>
      <c r="W825" s="53"/>
      <c r="X825" s="53"/>
      <c r="AP825" s="54"/>
    </row>
    <row r="826" spans="1:42" ht="18" customHeight="1" x14ac:dyDescent="0.3">
      <c r="A826" s="7"/>
      <c r="H826" s="53"/>
      <c r="R826" s="53"/>
      <c r="T826" s="53"/>
      <c r="U826" s="53"/>
      <c r="V826" s="53"/>
      <c r="W826" s="53"/>
      <c r="X826" s="53"/>
      <c r="AP826" s="54"/>
    </row>
    <row r="827" spans="1:42" ht="18" customHeight="1" x14ac:dyDescent="0.3">
      <c r="A827" s="7"/>
      <c r="H827" s="53"/>
      <c r="R827" s="53"/>
      <c r="T827" s="53"/>
      <c r="U827" s="53"/>
      <c r="V827" s="53"/>
      <c r="W827" s="53"/>
      <c r="X827" s="53"/>
      <c r="AP827" s="54"/>
    </row>
    <row r="828" spans="1:42" ht="18" customHeight="1" x14ac:dyDescent="0.3">
      <c r="A828" s="7"/>
      <c r="H828" s="53"/>
      <c r="R828" s="53"/>
      <c r="T828" s="53"/>
      <c r="U828" s="53"/>
      <c r="V828" s="53"/>
      <c r="W828" s="53"/>
      <c r="X828" s="53"/>
      <c r="AP828" s="54"/>
    </row>
    <row r="829" spans="1:42" ht="18" customHeight="1" x14ac:dyDescent="0.3">
      <c r="A829" s="7"/>
      <c r="H829" s="53"/>
      <c r="R829" s="53"/>
      <c r="T829" s="53"/>
      <c r="U829" s="53"/>
      <c r="V829" s="53"/>
      <c r="W829" s="53"/>
      <c r="X829" s="53"/>
      <c r="AP829" s="54"/>
    </row>
    <row r="830" spans="1:42" ht="18" customHeight="1" x14ac:dyDescent="0.3">
      <c r="A830" s="7"/>
      <c r="H830" s="53"/>
      <c r="R830" s="53"/>
      <c r="T830" s="53"/>
      <c r="U830" s="53"/>
      <c r="V830" s="53"/>
      <c r="W830" s="53"/>
      <c r="X830" s="53"/>
      <c r="AP830" s="54"/>
    </row>
    <row r="831" spans="1:42" ht="18" customHeight="1" x14ac:dyDescent="0.3">
      <c r="A831" s="7"/>
      <c r="H831" s="53"/>
      <c r="R831" s="53"/>
      <c r="T831" s="53"/>
      <c r="U831" s="53"/>
      <c r="V831" s="53"/>
      <c r="W831" s="53"/>
      <c r="X831" s="53"/>
      <c r="AP831" s="54"/>
    </row>
    <row r="832" spans="1:42" ht="18" customHeight="1" x14ac:dyDescent="0.3">
      <c r="A832" s="7"/>
      <c r="H832" s="53"/>
      <c r="R832" s="53"/>
      <c r="T832" s="53"/>
      <c r="U832" s="53"/>
      <c r="V832" s="53"/>
      <c r="W832" s="53"/>
      <c r="X832" s="53"/>
      <c r="AP832" s="54"/>
    </row>
    <row r="833" spans="1:42" ht="18" customHeight="1" x14ac:dyDescent="0.3">
      <c r="A833" s="7"/>
      <c r="H833" s="53"/>
      <c r="R833" s="53"/>
      <c r="T833" s="53"/>
      <c r="U833" s="53"/>
      <c r="V833" s="53"/>
      <c r="W833" s="53"/>
      <c r="X833" s="53"/>
      <c r="AP833" s="54"/>
    </row>
    <row r="834" spans="1:42" ht="18" customHeight="1" x14ac:dyDescent="0.3">
      <c r="A834" s="7"/>
      <c r="H834" s="53"/>
      <c r="R834" s="53"/>
      <c r="T834" s="53"/>
      <c r="U834" s="53"/>
      <c r="V834" s="53"/>
      <c r="W834" s="53"/>
      <c r="X834" s="53"/>
      <c r="AP834" s="54"/>
    </row>
    <row r="835" spans="1:42" ht="18" customHeight="1" x14ac:dyDescent="0.3">
      <c r="A835" s="7"/>
      <c r="H835" s="53"/>
      <c r="R835" s="53"/>
      <c r="T835" s="53"/>
      <c r="U835" s="53"/>
      <c r="V835" s="53"/>
      <c r="W835" s="53"/>
      <c r="X835" s="53"/>
      <c r="AP835" s="54"/>
    </row>
    <row r="836" spans="1:42" ht="18" customHeight="1" x14ac:dyDescent="0.3">
      <c r="A836" s="7"/>
      <c r="H836" s="53"/>
      <c r="R836" s="53"/>
      <c r="T836" s="53"/>
      <c r="U836" s="53"/>
      <c r="V836" s="53"/>
      <c r="W836" s="53"/>
      <c r="X836" s="53"/>
      <c r="AP836" s="54"/>
    </row>
    <row r="837" spans="1:42" ht="18" customHeight="1" x14ac:dyDescent="0.3">
      <c r="A837" s="7"/>
      <c r="H837" s="53"/>
      <c r="R837" s="53"/>
      <c r="T837" s="53"/>
      <c r="U837" s="53"/>
      <c r="V837" s="53"/>
      <c r="W837" s="53"/>
      <c r="X837" s="53"/>
      <c r="AP837" s="54"/>
    </row>
    <row r="838" spans="1:42" ht="18" customHeight="1" x14ac:dyDescent="0.3">
      <c r="A838" s="7"/>
      <c r="H838" s="53"/>
      <c r="R838" s="53"/>
      <c r="T838" s="53"/>
      <c r="U838" s="53"/>
      <c r="V838" s="53"/>
      <c r="W838" s="53"/>
      <c r="X838" s="53"/>
      <c r="AP838" s="54"/>
    </row>
    <row r="839" spans="1:42" ht="18" customHeight="1" x14ac:dyDescent="0.3">
      <c r="A839" s="7"/>
      <c r="H839" s="53"/>
      <c r="R839" s="53"/>
      <c r="T839" s="53"/>
      <c r="U839" s="53"/>
      <c r="V839" s="53"/>
      <c r="W839" s="53"/>
      <c r="X839" s="53"/>
      <c r="AP839" s="54"/>
    </row>
    <row r="840" spans="1:42" ht="18" customHeight="1" x14ac:dyDescent="0.3">
      <c r="A840" s="7"/>
      <c r="H840" s="53"/>
      <c r="R840" s="53"/>
      <c r="T840" s="53"/>
      <c r="U840" s="53"/>
      <c r="V840" s="53"/>
      <c r="W840" s="53"/>
      <c r="X840" s="53"/>
      <c r="AP840" s="54"/>
    </row>
    <row r="841" spans="1:42" ht="18" customHeight="1" x14ac:dyDescent="0.3">
      <c r="A841" s="7"/>
      <c r="H841" s="53"/>
      <c r="R841" s="53"/>
      <c r="T841" s="53"/>
      <c r="U841" s="53"/>
      <c r="V841" s="53"/>
      <c r="W841" s="53"/>
      <c r="X841" s="53"/>
      <c r="AP841" s="54"/>
    </row>
    <row r="842" spans="1:42" ht="18" customHeight="1" x14ac:dyDescent="0.3">
      <c r="A842" s="7"/>
      <c r="H842" s="53"/>
      <c r="R842" s="53"/>
      <c r="T842" s="53"/>
      <c r="U842" s="53"/>
      <c r="V842" s="53"/>
      <c r="W842" s="53"/>
      <c r="X842" s="53"/>
      <c r="AP842" s="54"/>
    </row>
    <row r="843" spans="1:42" ht="18" customHeight="1" x14ac:dyDescent="0.3">
      <c r="A843" s="7"/>
      <c r="H843" s="53"/>
      <c r="R843" s="53"/>
      <c r="T843" s="53"/>
      <c r="U843" s="53"/>
      <c r="V843" s="53"/>
      <c r="W843" s="53"/>
      <c r="X843" s="53"/>
      <c r="AP843" s="54"/>
    </row>
    <row r="844" spans="1:42" ht="18" customHeight="1" x14ac:dyDescent="0.3">
      <c r="A844" s="7"/>
      <c r="H844" s="53"/>
      <c r="R844" s="53"/>
      <c r="T844" s="53"/>
      <c r="U844" s="53"/>
      <c r="V844" s="53"/>
      <c r="W844" s="53"/>
      <c r="X844" s="53"/>
      <c r="AP844" s="54"/>
    </row>
    <row r="845" spans="1:42" ht="18" customHeight="1" x14ac:dyDescent="0.3">
      <c r="A845" s="7"/>
      <c r="H845" s="53"/>
      <c r="R845" s="53"/>
      <c r="T845" s="53"/>
      <c r="U845" s="53"/>
      <c r="V845" s="53"/>
      <c r="W845" s="53"/>
      <c r="X845" s="53"/>
      <c r="AP845" s="54"/>
    </row>
    <row r="846" spans="1:42" ht="18" customHeight="1" x14ac:dyDescent="0.3">
      <c r="A846" s="7"/>
      <c r="H846" s="53"/>
      <c r="R846" s="53"/>
      <c r="T846" s="53"/>
      <c r="U846" s="53"/>
      <c r="V846" s="53"/>
      <c r="W846" s="53"/>
      <c r="X846" s="53"/>
      <c r="AP846" s="54"/>
    </row>
    <row r="847" spans="1:42" ht="18" customHeight="1" x14ac:dyDescent="0.3">
      <c r="A847" s="7"/>
      <c r="H847" s="53"/>
      <c r="R847" s="53"/>
      <c r="T847" s="53"/>
      <c r="U847" s="53"/>
      <c r="V847" s="53"/>
      <c r="W847" s="53"/>
      <c r="X847" s="53"/>
      <c r="AP847" s="54"/>
    </row>
    <row r="848" spans="1:42" ht="18" customHeight="1" x14ac:dyDescent="0.3">
      <c r="A848" s="7"/>
      <c r="H848" s="53"/>
      <c r="R848" s="53"/>
      <c r="T848" s="53"/>
      <c r="U848" s="53"/>
      <c r="V848" s="53"/>
      <c r="W848" s="53"/>
      <c r="X848" s="53"/>
      <c r="AP848" s="54"/>
    </row>
    <row r="849" spans="1:42" ht="18" customHeight="1" x14ac:dyDescent="0.3">
      <c r="A849" s="7"/>
      <c r="H849" s="53"/>
      <c r="R849" s="53"/>
      <c r="T849" s="53"/>
      <c r="U849" s="53"/>
      <c r="V849" s="53"/>
      <c r="W849" s="53"/>
      <c r="X849" s="53"/>
      <c r="AP849" s="54"/>
    </row>
    <row r="850" spans="1:42" ht="18" customHeight="1" x14ac:dyDescent="0.3">
      <c r="A850" s="7"/>
      <c r="H850" s="53"/>
      <c r="R850" s="53"/>
      <c r="T850" s="53"/>
      <c r="U850" s="53"/>
      <c r="V850" s="53"/>
      <c r="W850" s="53"/>
      <c r="X850" s="53"/>
      <c r="AP850" s="54"/>
    </row>
    <row r="851" spans="1:42" ht="18" customHeight="1" x14ac:dyDescent="0.3">
      <c r="A851" s="7"/>
      <c r="H851" s="53"/>
      <c r="R851" s="53"/>
      <c r="T851" s="53"/>
      <c r="U851" s="53"/>
      <c r="V851" s="53"/>
      <c r="W851" s="53"/>
      <c r="X851" s="53"/>
      <c r="AP851" s="54"/>
    </row>
    <row r="852" spans="1:42" ht="18" customHeight="1" x14ac:dyDescent="0.3">
      <c r="A852" s="7"/>
      <c r="H852" s="53"/>
      <c r="R852" s="53"/>
      <c r="T852" s="53"/>
      <c r="U852" s="53"/>
      <c r="V852" s="53"/>
      <c r="W852" s="53"/>
      <c r="X852" s="53"/>
      <c r="AP852" s="54"/>
    </row>
    <row r="853" spans="1:42" ht="18" customHeight="1" x14ac:dyDescent="0.3">
      <c r="A853" s="7"/>
      <c r="H853" s="53"/>
      <c r="R853" s="53"/>
      <c r="T853" s="53"/>
      <c r="U853" s="53"/>
      <c r="V853" s="53"/>
      <c r="W853" s="53"/>
      <c r="X853" s="53"/>
      <c r="AP853" s="54"/>
    </row>
    <row r="854" spans="1:42" ht="18" customHeight="1" x14ac:dyDescent="0.3">
      <c r="A854" s="7"/>
      <c r="H854" s="53"/>
      <c r="R854" s="53"/>
      <c r="T854" s="53"/>
      <c r="U854" s="53"/>
      <c r="V854" s="53"/>
      <c r="W854" s="53"/>
      <c r="X854" s="53"/>
      <c r="AP854" s="54"/>
    </row>
    <row r="855" spans="1:42" ht="18" customHeight="1" x14ac:dyDescent="0.3">
      <c r="A855" s="7"/>
      <c r="H855" s="53"/>
      <c r="R855" s="53"/>
      <c r="T855" s="53"/>
      <c r="U855" s="53"/>
      <c r="V855" s="53"/>
      <c r="W855" s="53"/>
      <c r="X855" s="53"/>
      <c r="AP855" s="54"/>
    </row>
    <row r="856" spans="1:42" ht="18" customHeight="1" x14ac:dyDescent="0.3">
      <c r="A856" s="7"/>
      <c r="H856" s="53"/>
      <c r="R856" s="53"/>
      <c r="T856" s="53"/>
      <c r="U856" s="53"/>
      <c r="V856" s="53"/>
      <c r="W856" s="53"/>
      <c r="X856" s="53"/>
      <c r="AP856" s="54"/>
    </row>
    <row r="857" spans="1:42" ht="18" customHeight="1" x14ac:dyDescent="0.3">
      <c r="A857" s="7"/>
      <c r="H857" s="53"/>
      <c r="R857" s="53"/>
      <c r="T857" s="53"/>
      <c r="U857" s="53"/>
      <c r="V857" s="53"/>
      <c r="W857" s="53"/>
      <c r="X857" s="53"/>
      <c r="AP857" s="54"/>
    </row>
    <row r="858" spans="1:42" ht="18" customHeight="1" x14ac:dyDescent="0.3">
      <c r="A858" s="7"/>
      <c r="H858" s="53"/>
      <c r="R858" s="53"/>
      <c r="T858" s="53"/>
      <c r="U858" s="53"/>
      <c r="V858" s="53"/>
      <c r="W858" s="53"/>
      <c r="X858" s="53"/>
      <c r="AP858" s="54"/>
    </row>
    <row r="859" spans="1:42" ht="18" customHeight="1" x14ac:dyDescent="0.3">
      <c r="A859" s="7"/>
      <c r="H859" s="53"/>
      <c r="R859" s="53"/>
      <c r="T859" s="53"/>
      <c r="U859" s="53"/>
      <c r="V859" s="53"/>
      <c r="W859" s="53"/>
      <c r="X859" s="53"/>
      <c r="AP859" s="54"/>
    </row>
    <row r="860" spans="1:42" ht="18" customHeight="1" x14ac:dyDescent="0.3">
      <c r="A860" s="7"/>
      <c r="H860" s="53"/>
      <c r="R860" s="53"/>
      <c r="T860" s="53"/>
      <c r="U860" s="53"/>
      <c r="V860" s="53"/>
      <c r="W860" s="53"/>
      <c r="X860" s="53"/>
      <c r="AP860" s="54"/>
    </row>
    <row r="861" spans="1:42" ht="18" customHeight="1" x14ac:dyDescent="0.3">
      <c r="A861" s="7"/>
      <c r="H861" s="53"/>
      <c r="R861" s="53"/>
      <c r="T861" s="53"/>
      <c r="U861" s="53"/>
      <c r="V861" s="53"/>
      <c r="W861" s="53"/>
      <c r="X861" s="53"/>
      <c r="AP861" s="54"/>
    </row>
    <row r="862" spans="1:42" ht="18" customHeight="1" x14ac:dyDescent="0.3">
      <c r="A862" s="7"/>
      <c r="H862" s="53"/>
      <c r="R862" s="53"/>
      <c r="T862" s="53"/>
      <c r="U862" s="53"/>
      <c r="V862" s="53"/>
      <c r="W862" s="53"/>
      <c r="X862" s="53"/>
      <c r="AP862" s="54"/>
    </row>
    <row r="863" spans="1:42" ht="18" customHeight="1" x14ac:dyDescent="0.3">
      <c r="A863" s="7"/>
      <c r="H863" s="53"/>
      <c r="R863" s="53"/>
      <c r="T863" s="53"/>
      <c r="U863" s="53"/>
      <c r="V863" s="53"/>
      <c r="W863" s="53"/>
      <c r="X863" s="53"/>
      <c r="AP863" s="54"/>
    </row>
    <row r="864" spans="1:42" ht="18" customHeight="1" x14ac:dyDescent="0.3">
      <c r="A864" s="7"/>
      <c r="H864" s="53"/>
      <c r="R864" s="53"/>
      <c r="T864" s="53"/>
      <c r="U864" s="53"/>
      <c r="V864" s="53"/>
      <c r="W864" s="53"/>
      <c r="X864" s="53"/>
      <c r="AP864" s="54"/>
    </row>
    <row r="865" spans="1:42" ht="18" customHeight="1" x14ac:dyDescent="0.3">
      <c r="A865" s="7"/>
      <c r="H865" s="53"/>
      <c r="R865" s="53"/>
      <c r="T865" s="53"/>
      <c r="U865" s="53"/>
      <c r="V865" s="53"/>
      <c r="W865" s="53"/>
      <c r="X865" s="53"/>
      <c r="AP865" s="54"/>
    </row>
    <row r="866" spans="1:42" ht="18" customHeight="1" x14ac:dyDescent="0.3">
      <c r="A866" s="7"/>
      <c r="H866" s="53"/>
      <c r="R866" s="53"/>
      <c r="T866" s="53"/>
      <c r="U866" s="53"/>
      <c r="V866" s="53"/>
      <c r="W866" s="53"/>
      <c r="X866" s="53"/>
      <c r="AP866" s="54"/>
    </row>
    <row r="867" spans="1:42" ht="18" customHeight="1" x14ac:dyDescent="0.3">
      <c r="A867" s="7"/>
      <c r="H867" s="53"/>
      <c r="R867" s="53"/>
      <c r="T867" s="53"/>
      <c r="U867" s="53"/>
      <c r="V867" s="53"/>
      <c r="W867" s="53"/>
      <c r="X867" s="53"/>
      <c r="AP867" s="54"/>
    </row>
    <row r="868" spans="1:42" ht="18" customHeight="1" x14ac:dyDescent="0.3">
      <c r="A868" s="7"/>
      <c r="H868" s="53"/>
      <c r="R868" s="53"/>
      <c r="T868" s="53"/>
      <c r="U868" s="53"/>
      <c r="V868" s="53"/>
      <c r="W868" s="53"/>
      <c r="X868" s="53"/>
      <c r="AP868" s="54"/>
    </row>
    <row r="869" spans="1:42" ht="18" customHeight="1" x14ac:dyDescent="0.3">
      <c r="A869" s="7"/>
      <c r="H869" s="53"/>
      <c r="R869" s="53"/>
      <c r="T869" s="53"/>
      <c r="U869" s="53"/>
      <c r="V869" s="53"/>
      <c r="W869" s="53"/>
      <c r="X869" s="53"/>
      <c r="AP869" s="54"/>
    </row>
    <row r="870" spans="1:42" ht="18" customHeight="1" x14ac:dyDescent="0.3">
      <c r="A870" s="7"/>
      <c r="H870" s="53"/>
      <c r="R870" s="53"/>
      <c r="T870" s="53"/>
      <c r="U870" s="53"/>
      <c r="V870" s="53"/>
      <c r="W870" s="53"/>
      <c r="X870" s="53"/>
      <c r="AP870" s="54"/>
    </row>
    <row r="871" spans="1:42" ht="18" customHeight="1" x14ac:dyDescent="0.3">
      <c r="A871" s="7"/>
      <c r="H871" s="53"/>
      <c r="R871" s="53"/>
      <c r="T871" s="53"/>
      <c r="U871" s="53"/>
      <c r="V871" s="53"/>
      <c r="W871" s="53"/>
      <c r="X871" s="53"/>
      <c r="AP871" s="54"/>
    </row>
    <row r="872" spans="1:42" ht="18" customHeight="1" x14ac:dyDescent="0.3">
      <c r="A872" s="7"/>
      <c r="H872" s="53"/>
      <c r="R872" s="53"/>
      <c r="T872" s="53"/>
      <c r="U872" s="53"/>
      <c r="V872" s="53"/>
      <c r="W872" s="53"/>
      <c r="X872" s="53"/>
      <c r="AP872" s="54"/>
    </row>
    <row r="873" spans="1:42" ht="18" customHeight="1" x14ac:dyDescent="0.3">
      <c r="A873" s="7"/>
      <c r="H873" s="53"/>
      <c r="R873" s="53"/>
      <c r="T873" s="53"/>
      <c r="U873" s="53"/>
      <c r="V873" s="53"/>
      <c r="W873" s="53"/>
      <c r="X873" s="53"/>
      <c r="AP873" s="54"/>
    </row>
    <row r="874" spans="1:42" ht="18" customHeight="1" x14ac:dyDescent="0.3">
      <c r="A874" s="7"/>
      <c r="H874" s="53"/>
      <c r="R874" s="53"/>
      <c r="T874" s="53"/>
      <c r="U874" s="53"/>
      <c r="V874" s="53"/>
      <c r="W874" s="53"/>
      <c r="X874" s="53"/>
      <c r="AP874" s="54"/>
    </row>
    <row r="875" spans="1:42" ht="18" customHeight="1" x14ac:dyDescent="0.3">
      <c r="A875" s="7"/>
      <c r="H875" s="53"/>
      <c r="R875" s="53"/>
      <c r="T875" s="53"/>
      <c r="U875" s="53"/>
      <c r="V875" s="53"/>
      <c r="W875" s="53"/>
      <c r="X875" s="53"/>
      <c r="AP875" s="54"/>
    </row>
    <row r="876" spans="1:42" ht="18" customHeight="1" x14ac:dyDescent="0.3">
      <c r="A876" s="7"/>
      <c r="H876" s="53"/>
      <c r="R876" s="53"/>
      <c r="T876" s="53"/>
      <c r="U876" s="53"/>
      <c r="V876" s="53"/>
      <c r="W876" s="53"/>
      <c r="X876" s="53"/>
      <c r="AP876" s="54"/>
    </row>
    <row r="877" spans="1:42" ht="18" customHeight="1" x14ac:dyDescent="0.3">
      <c r="A877" s="7"/>
      <c r="H877" s="53"/>
      <c r="R877" s="53"/>
      <c r="T877" s="53"/>
      <c r="U877" s="53"/>
      <c r="V877" s="53"/>
      <c r="W877" s="53"/>
      <c r="X877" s="53"/>
      <c r="AP877" s="54"/>
    </row>
    <row r="878" spans="1:42" ht="18" customHeight="1" x14ac:dyDescent="0.3">
      <c r="A878" s="7"/>
      <c r="H878" s="53"/>
      <c r="R878" s="53"/>
      <c r="T878" s="53"/>
      <c r="U878" s="53"/>
      <c r="V878" s="53"/>
      <c r="W878" s="53"/>
      <c r="X878" s="53"/>
      <c r="AP878" s="54"/>
    </row>
    <row r="879" spans="1:42" ht="18" customHeight="1" x14ac:dyDescent="0.3">
      <c r="A879" s="7"/>
      <c r="H879" s="53"/>
      <c r="R879" s="53"/>
      <c r="T879" s="53"/>
      <c r="U879" s="53"/>
      <c r="V879" s="53"/>
      <c r="W879" s="53"/>
      <c r="X879" s="53"/>
      <c r="AP879" s="54"/>
    </row>
    <row r="880" spans="1:42" ht="18" customHeight="1" x14ac:dyDescent="0.3">
      <c r="A880" s="7"/>
      <c r="H880" s="53"/>
      <c r="R880" s="53"/>
      <c r="T880" s="53"/>
      <c r="U880" s="53"/>
      <c r="V880" s="53"/>
      <c r="W880" s="53"/>
      <c r="X880" s="53"/>
      <c r="AP880" s="54"/>
    </row>
    <row r="881" spans="1:42" ht="18" customHeight="1" x14ac:dyDescent="0.3">
      <c r="A881" s="7"/>
      <c r="H881" s="53"/>
      <c r="R881" s="53"/>
      <c r="T881" s="53"/>
      <c r="U881" s="53"/>
      <c r="V881" s="53"/>
      <c r="W881" s="53"/>
      <c r="X881" s="53"/>
      <c r="AP881" s="54"/>
    </row>
    <row r="882" spans="1:42" ht="18" customHeight="1" x14ac:dyDescent="0.3">
      <c r="A882" s="7"/>
      <c r="H882" s="53"/>
      <c r="R882" s="53"/>
      <c r="T882" s="53"/>
      <c r="U882" s="53"/>
      <c r="V882" s="53"/>
      <c r="W882" s="53"/>
      <c r="X882" s="53"/>
      <c r="AP882" s="54"/>
    </row>
    <row r="883" spans="1:42" ht="18" customHeight="1" x14ac:dyDescent="0.3">
      <c r="A883" s="7"/>
      <c r="H883" s="53"/>
      <c r="R883" s="53"/>
      <c r="T883" s="53"/>
      <c r="U883" s="53"/>
      <c r="V883" s="53"/>
      <c r="W883" s="53"/>
      <c r="X883" s="53"/>
      <c r="AP883" s="54"/>
    </row>
    <row r="884" spans="1:42" ht="18" customHeight="1" x14ac:dyDescent="0.3">
      <c r="A884" s="7"/>
      <c r="H884" s="53"/>
      <c r="R884" s="53"/>
      <c r="T884" s="53"/>
      <c r="U884" s="53"/>
      <c r="V884" s="53"/>
      <c r="W884" s="53"/>
      <c r="X884" s="53"/>
      <c r="AP884" s="54"/>
    </row>
    <row r="885" spans="1:42" ht="18" customHeight="1" x14ac:dyDescent="0.3">
      <c r="A885" s="7"/>
      <c r="H885" s="53"/>
      <c r="R885" s="53"/>
      <c r="T885" s="53"/>
      <c r="U885" s="53"/>
      <c r="V885" s="53"/>
      <c r="W885" s="53"/>
      <c r="X885" s="53"/>
      <c r="AP885" s="54"/>
    </row>
    <row r="886" spans="1:42" ht="18" customHeight="1" x14ac:dyDescent="0.3">
      <c r="A886" s="7"/>
      <c r="H886" s="53"/>
      <c r="R886" s="53"/>
      <c r="T886" s="53"/>
      <c r="U886" s="53"/>
      <c r="V886" s="53"/>
      <c r="W886" s="53"/>
      <c r="X886" s="53"/>
      <c r="AP886" s="54"/>
    </row>
    <row r="887" spans="1:42" ht="18" customHeight="1" x14ac:dyDescent="0.3">
      <c r="A887" s="7"/>
      <c r="H887" s="53"/>
      <c r="R887" s="53"/>
      <c r="T887" s="53"/>
      <c r="U887" s="53"/>
      <c r="V887" s="53"/>
      <c r="W887" s="53"/>
      <c r="X887" s="53"/>
      <c r="AP887" s="54"/>
    </row>
    <row r="888" spans="1:42" ht="18" customHeight="1" x14ac:dyDescent="0.3">
      <c r="A888" s="7"/>
      <c r="H888" s="53"/>
      <c r="R888" s="53"/>
      <c r="T888" s="53"/>
      <c r="U888" s="53"/>
      <c r="V888" s="53"/>
      <c r="W888" s="53"/>
      <c r="X888" s="53"/>
      <c r="AP888" s="54"/>
    </row>
    <row r="889" spans="1:42" ht="18" customHeight="1" x14ac:dyDescent="0.3">
      <c r="A889" s="7"/>
      <c r="H889" s="53"/>
      <c r="R889" s="53"/>
      <c r="T889" s="53"/>
      <c r="U889" s="53"/>
      <c r="V889" s="53"/>
      <c r="W889" s="53"/>
      <c r="X889" s="53"/>
      <c r="AP889" s="54"/>
    </row>
    <row r="890" spans="1:42" ht="18" customHeight="1" x14ac:dyDescent="0.3">
      <c r="A890" s="7"/>
      <c r="H890" s="53"/>
      <c r="R890" s="53"/>
      <c r="T890" s="53"/>
      <c r="U890" s="53"/>
      <c r="V890" s="53"/>
      <c r="W890" s="53"/>
      <c r="X890" s="53"/>
      <c r="AP890" s="54"/>
    </row>
    <row r="891" spans="1:42" ht="18" customHeight="1" x14ac:dyDescent="0.3">
      <c r="A891" s="7"/>
      <c r="H891" s="53"/>
      <c r="R891" s="53"/>
      <c r="T891" s="53"/>
      <c r="U891" s="53"/>
      <c r="V891" s="53"/>
      <c r="W891" s="53"/>
      <c r="X891" s="53"/>
      <c r="AP891" s="54"/>
    </row>
    <row r="892" spans="1:42" ht="18" customHeight="1" x14ac:dyDescent="0.3">
      <c r="A892" s="7"/>
      <c r="H892" s="53"/>
      <c r="R892" s="53"/>
      <c r="T892" s="53"/>
      <c r="U892" s="53"/>
      <c r="V892" s="53"/>
      <c r="W892" s="53"/>
      <c r="X892" s="53"/>
      <c r="AP892" s="54"/>
    </row>
    <row r="893" spans="1:42" ht="18" customHeight="1" x14ac:dyDescent="0.3">
      <c r="A893" s="7"/>
      <c r="H893" s="53"/>
      <c r="R893" s="53"/>
      <c r="T893" s="53"/>
      <c r="U893" s="53"/>
      <c r="V893" s="53"/>
      <c r="W893" s="53"/>
      <c r="X893" s="53"/>
      <c r="AP893" s="54"/>
    </row>
    <row r="894" spans="1:42" ht="18" customHeight="1" x14ac:dyDescent="0.3">
      <c r="A894" s="7"/>
      <c r="H894" s="53"/>
      <c r="R894" s="53"/>
      <c r="T894" s="53"/>
      <c r="U894" s="53"/>
      <c r="V894" s="53"/>
      <c r="W894" s="53"/>
      <c r="X894" s="53"/>
      <c r="AP894" s="54"/>
    </row>
    <row r="895" spans="1:42" ht="18" customHeight="1" x14ac:dyDescent="0.3">
      <c r="A895" s="7"/>
      <c r="H895" s="53"/>
      <c r="R895" s="53"/>
      <c r="T895" s="53"/>
      <c r="U895" s="53"/>
      <c r="V895" s="53"/>
      <c r="W895" s="53"/>
      <c r="X895" s="53"/>
      <c r="AP895" s="54"/>
    </row>
    <row r="896" spans="1:42" ht="18" customHeight="1" x14ac:dyDescent="0.3">
      <c r="A896" s="7"/>
      <c r="H896" s="53"/>
      <c r="R896" s="53"/>
      <c r="T896" s="53"/>
      <c r="U896" s="53"/>
      <c r="V896" s="53"/>
      <c r="W896" s="53"/>
      <c r="X896" s="53"/>
      <c r="AP896" s="54"/>
    </row>
    <row r="897" spans="1:42" ht="18" customHeight="1" x14ac:dyDescent="0.3">
      <c r="A897" s="7"/>
      <c r="H897" s="53"/>
      <c r="R897" s="53"/>
      <c r="T897" s="53"/>
      <c r="U897" s="53"/>
      <c r="V897" s="53"/>
      <c r="W897" s="53"/>
      <c r="X897" s="53"/>
      <c r="AP897" s="54"/>
    </row>
    <row r="898" spans="1:42" ht="18" customHeight="1" x14ac:dyDescent="0.3">
      <c r="A898" s="7"/>
      <c r="H898" s="53"/>
      <c r="R898" s="53"/>
      <c r="T898" s="53"/>
      <c r="U898" s="53"/>
      <c r="V898" s="53"/>
      <c r="W898" s="53"/>
      <c r="X898" s="53"/>
      <c r="AP898" s="54"/>
    </row>
    <row r="899" spans="1:42" ht="18" customHeight="1" x14ac:dyDescent="0.3">
      <c r="A899" s="7"/>
      <c r="H899" s="53"/>
      <c r="R899" s="53"/>
      <c r="T899" s="53"/>
      <c r="U899" s="53"/>
      <c r="V899" s="53"/>
      <c r="W899" s="53"/>
      <c r="X899" s="53"/>
      <c r="AP899" s="54"/>
    </row>
    <row r="900" spans="1:42" ht="18" customHeight="1" x14ac:dyDescent="0.3">
      <c r="A900" s="7"/>
      <c r="H900" s="53"/>
      <c r="R900" s="53"/>
      <c r="T900" s="53"/>
      <c r="U900" s="53"/>
      <c r="V900" s="53"/>
      <c r="W900" s="53"/>
      <c r="X900" s="53"/>
      <c r="AP900" s="54"/>
    </row>
    <row r="901" spans="1:42" ht="18" customHeight="1" x14ac:dyDescent="0.3">
      <c r="A901" s="7"/>
      <c r="H901" s="53"/>
      <c r="R901" s="53"/>
      <c r="T901" s="53"/>
      <c r="U901" s="53"/>
      <c r="V901" s="53"/>
      <c r="W901" s="53"/>
      <c r="X901" s="53"/>
      <c r="AP901" s="54"/>
    </row>
    <row r="902" spans="1:42" ht="18" customHeight="1" x14ac:dyDescent="0.3">
      <c r="A902" s="7"/>
      <c r="H902" s="53"/>
      <c r="R902" s="53"/>
      <c r="T902" s="53"/>
      <c r="U902" s="53"/>
      <c r="V902" s="53"/>
      <c r="W902" s="53"/>
      <c r="X902" s="53"/>
      <c r="AP902" s="54"/>
    </row>
    <row r="903" spans="1:42" ht="18" customHeight="1" x14ac:dyDescent="0.3">
      <c r="A903" s="7"/>
      <c r="H903" s="53"/>
      <c r="R903" s="53"/>
      <c r="T903" s="53"/>
      <c r="U903" s="53"/>
      <c r="V903" s="53"/>
      <c r="W903" s="53"/>
      <c r="X903" s="53"/>
      <c r="AP903" s="54"/>
    </row>
    <row r="904" spans="1:42" ht="18" customHeight="1" x14ac:dyDescent="0.3">
      <c r="A904" s="7"/>
      <c r="H904" s="53"/>
      <c r="R904" s="53"/>
      <c r="T904" s="53"/>
      <c r="U904" s="53"/>
      <c r="V904" s="53"/>
      <c r="W904" s="53"/>
      <c r="X904" s="53"/>
      <c r="AP904" s="54"/>
    </row>
    <row r="905" spans="1:42" ht="18" customHeight="1" x14ac:dyDescent="0.3">
      <c r="A905" s="7"/>
      <c r="H905" s="53"/>
      <c r="R905" s="53"/>
      <c r="T905" s="53"/>
      <c r="U905" s="53"/>
      <c r="V905" s="53"/>
      <c r="W905" s="53"/>
      <c r="X905" s="53"/>
      <c r="AP905" s="54"/>
    </row>
    <row r="906" spans="1:42" ht="18" customHeight="1" x14ac:dyDescent="0.3">
      <c r="A906" s="7"/>
      <c r="H906" s="53"/>
      <c r="R906" s="53"/>
      <c r="T906" s="53"/>
      <c r="U906" s="53"/>
      <c r="V906" s="53"/>
      <c r="W906" s="53"/>
      <c r="X906" s="53"/>
      <c r="AP906" s="54"/>
    </row>
    <row r="907" spans="1:42" ht="18" customHeight="1" x14ac:dyDescent="0.3">
      <c r="A907" s="7"/>
      <c r="H907" s="53"/>
      <c r="R907" s="53"/>
      <c r="T907" s="53"/>
      <c r="U907" s="53"/>
      <c r="V907" s="53"/>
      <c r="W907" s="53"/>
      <c r="X907" s="53"/>
      <c r="AP907" s="54"/>
    </row>
    <row r="908" spans="1:42" ht="18" customHeight="1" x14ac:dyDescent="0.3">
      <c r="A908" s="7"/>
      <c r="H908" s="53"/>
      <c r="R908" s="53"/>
      <c r="T908" s="53"/>
      <c r="U908" s="53"/>
      <c r="V908" s="53"/>
      <c r="W908" s="53"/>
      <c r="X908" s="53"/>
      <c r="AP908" s="54"/>
    </row>
    <row r="909" spans="1:42" ht="18" customHeight="1" x14ac:dyDescent="0.3">
      <c r="A909" s="7"/>
      <c r="H909" s="53"/>
      <c r="R909" s="53"/>
      <c r="T909" s="53"/>
      <c r="U909" s="53"/>
      <c r="V909" s="53"/>
      <c r="W909" s="53"/>
      <c r="X909" s="53"/>
      <c r="AP909" s="54"/>
    </row>
    <row r="910" spans="1:42" ht="18" customHeight="1" x14ac:dyDescent="0.3">
      <c r="A910" s="7"/>
      <c r="H910" s="53"/>
      <c r="R910" s="53"/>
      <c r="T910" s="53"/>
      <c r="U910" s="53"/>
      <c r="V910" s="53"/>
      <c r="W910" s="53"/>
      <c r="X910" s="53"/>
      <c r="AP910" s="54"/>
    </row>
    <row r="911" spans="1:42" ht="18" customHeight="1" x14ac:dyDescent="0.3">
      <c r="A911" s="7"/>
      <c r="H911" s="53"/>
      <c r="R911" s="53"/>
      <c r="T911" s="53"/>
      <c r="U911" s="53"/>
      <c r="V911" s="53"/>
      <c r="W911" s="53"/>
      <c r="X911" s="53"/>
      <c r="AP911" s="54"/>
    </row>
    <row r="912" spans="1:42" ht="18" customHeight="1" x14ac:dyDescent="0.3">
      <c r="A912" s="7"/>
      <c r="H912" s="53"/>
      <c r="R912" s="53"/>
      <c r="T912" s="53"/>
      <c r="U912" s="53"/>
      <c r="V912" s="53"/>
      <c r="W912" s="53"/>
      <c r="X912" s="53"/>
      <c r="AP912" s="54"/>
    </row>
    <row r="913" spans="1:42" ht="18" customHeight="1" x14ac:dyDescent="0.3">
      <c r="A913" s="7"/>
      <c r="H913" s="53"/>
      <c r="R913" s="53"/>
      <c r="T913" s="53"/>
      <c r="U913" s="53"/>
      <c r="V913" s="53"/>
      <c r="W913" s="53"/>
      <c r="X913" s="53"/>
      <c r="AP913" s="54"/>
    </row>
    <row r="914" spans="1:42" ht="18" customHeight="1" x14ac:dyDescent="0.3">
      <c r="A914" s="7"/>
      <c r="H914" s="53"/>
      <c r="R914" s="53"/>
      <c r="T914" s="53"/>
      <c r="U914" s="53"/>
      <c r="V914" s="53"/>
      <c r="W914" s="53"/>
      <c r="X914" s="53"/>
      <c r="AP914" s="54"/>
    </row>
    <row r="915" spans="1:42" ht="18" customHeight="1" x14ac:dyDescent="0.3">
      <c r="A915" s="7"/>
      <c r="H915" s="53"/>
      <c r="R915" s="53"/>
      <c r="T915" s="53"/>
      <c r="U915" s="53"/>
      <c r="V915" s="53"/>
      <c r="W915" s="53"/>
      <c r="X915" s="53"/>
      <c r="AP915" s="54"/>
    </row>
    <row r="916" spans="1:42" ht="18" customHeight="1" x14ac:dyDescent="0.3">
      <c r="A916" s="7"/>
      <c r="H916" s="53"/>
      <c r="R916" s="53"/>
      <c r="T916" s="53"/>
      <c r="U916" s="53"/>
      <c r="V916" s="53"/>
      <c r="W916" s="53"/>
      <c r="X916" s="53"/>
      <c r="AP916" s="54"/>
    </row>
    <row r="917" spans="1:42" ht="18" customHeight="1" x14ac:dyDescent="0.3">
      <c r="A917" s="7"/>
      <c r="H917" s="53"/>
      <c r="R917" s="53"/>
      <c r="T917" s="53"/>
      <c r="U917" s="53"/>
      <c r="V917" s="53"/>
      <c r="W917" s="53"/>
      <c r="X917" s="53"/>
      <c r="AP917" s="54"/>
    </row>
    <row r="918" spans="1:42" ht="18" customHeight="1" x14ac:dyDescent="0.3">
      <c r="A918" s="7"/>
      <c r="H918" s="53"/>
      <c r="R918" s="53"/>
      <c r="T918" s="53"/>
      <c r="U918" s="53"/>
      <c r="V918" s="53"/>
      <c r="W918" s="53"/>
      <c r="X918" s="53"/>
      <c r="AP918" s="54"/>
    </row>
    <row r="919" spans="1:42" ht="18" customHeight="1" x14ac:dyDescent="0.3">
      <c r="A919" s="7"/>
      <c r="H919" s="53"/>
      <c r="R919" s="53"/>
      <c r="T919" s="53"/>
      <c r="U919" s="53"/>
      <c r="V919" s="53"/>
      <c r="W919" s="53"/>
      <c r="X919" s="53"/>
      <c r="AP919" s="54"/>
    </row>
    <row r="920" spans="1:42" ht="18" customHeight="1" x14ac:dyDescent="0.3">
      <c r="A920" s="7"/>
      <c r="H920" s="53"/>
      <c r="R920" s="53"/>
      <c r="T920" s="53"/>
      <c r="U920" s="53"/>
      <c r="V920" s="53"/>
      <c r="W920" s="53"/>
      <c r="X920" s="53"/>
      <c r="AP920" s="54"/>
    </row>
    <row r="921" spans="1:42" ht="18" customHeight="1" x14ac:dyDescent="0.3">
      <c r="A921" s="7"/>
      <c r="H921" s="53"/>
      <c r="R921" s="53"/>
      <c r="T921" s="53"/>
      <c r="U921" s="53"/>
      <c r="V921" s="53"/>
      <c r="W921" s="53"/>
      <c r="X921" s="53"/>
      <c r="AP921" s="54"/>
    </row>
    <row r="922" spans="1:42" ht="18" customHeight="1" x14ac:dyDescent="0.3">
      <c r="A922" s="7"/>
      <c r="H922" s="53"/>
      <c r="R922" s="53"/>
      <c r="T922" s="53"/>
      <c r="U922" s="53"/>
      <c r="V922" s="53"/>
      <c r="W922" s="53"/>
      <c r="X922" s="53"/>
      <c r="AP922" s="54"/>
    </row>
    <row r="923" spans="1:42" ht="18" customHeight="1" x14ac:dyDescent="0.3">
      <c r="A923" s="7"/>
      <c r="H923" s="53"/>
      <c r="R923" s="53"/>
      <c r="T923" s="53"/>
      <c r="U923" s="53"/>
      <c r="V923" s="53"/>
      <c r="W923" s="53"/>
      <c r="X923" s="53"/>
      <c r="AP923" s="54"/>
    </row>
    <row r="924" spans="1:42" ht="18" customHeight="1" x14ac:dyDescent="0.3">
      <c r="A924" s="7"/>
      <c r="H924" s="53"/>
      <c r="R924" s="53"/>
      <c r="T924" s="53"/>
      <c r="U924" s="53"/>
      <c r="V924" s="53"/>
      <c r="W924" s="53"/>
      <c r="X924" s="53"/>
      <c r="AP924" s="54"/>
    </row>
    <row r="925" spans="1:42" ht="18" customHeight="1" x14ac:dyDescent="0.3">
      <c r="A925" s="7"/>
      <c r="H925" s="53"/>
      <c r="R925" s="53"/>
      <c r="T925" s="53"/>
      <c r="U925" s="53"/>
      <c r="V925" s="53"/>
      <c r="W925" s="53"/>
      <c r="X925" s="53"/>
      <c r="AP925" s="54"/>
    </row>
    <row r="926" spans="1:42" ht="18" customHeight="1" x14ac:dyDescent="0.3">
      <c r="A926" s="7"/>
      <c r="H926" s="53"/>
      <c r="R926" s="53"/>
      <c r="T926" s="53"/>
      <c r="U926" s="53"/>
      <c r="V926" s="53"/>
      <c r="W926" s="53"/>
      <c r="X926" s="53"/>
      <c r="AP926" s="54"/>
    </row>
    <row r="927" spans="1:42" ht="18" customHeight="1" x14ac:dyDescent="0.3">
      <c r="A927" s="7"/>
      <c r="H927" s="53"/>
      <c r="R927" s="53"/>
      <c r="T927" s="53"/>
      <c r="U927" s="53"/>
      <c r="V927" s="53"/>
      <c r="W927" s="53"/>
      <c r="X927" s="53"/>
      <c r="AP927" s="54"/>
    </row>
    <row r="928" spans="1:42" ht="18" customHeight="1" x14ac:dyDescent="0.3">
      <c r="A928" s="7"/>
      <c r="H928" s="53"/>
      <c r="R928" s="53"/>
      <c r="T928" s="53"/>
      <c r="U928" s="53"/>
      <c r="V928" s="53"/>
      <c r="W928" s="53"/>
      <c r="X928" s="53"/>
      <c r="AP928" s="54"/>
    </row>
    <row r="929" spans="1:42" ht="18" customHeight="1" x14ac:dyDescent="0.3">
      <c r="A929" s="7"/>
      <c r="H929" s="53"/>
      <c r="R929" s="53"/>
      <c r="T929" s="53"/>
      <c r="U929" s="53"/>
      <c r="V929" s="53"/>
      <c r="W929" s="53"/>
      <c r="X929" s="53"/>
      <c r="AP929" s="54"/>
    </row>
    <row r="930" spans="1:42" ht="18" customHeight="1" x14ac:dyDescent="0.3">
      <c r="A930" s="7"/>
      <c r="H930" s="53"/>
      <c r="R930" s="53"/>
      <c r="T930" s="53"/>
      <c r="U930" s="53"/>
      <c r="V930" s="53"/>
      <c r="W930" s="53"/>
      <c r="X930" s="53"/>
      <c r="AP930" s="54"/>
    </row>
    <row r="931" spans="1:42" ht="18" customHeight="1" x14ac:dyDescent="0.3">
      <c r="A931" s="7"/>
      <c r="H931" s="53"/>
      <c r="R931" s="53"/>
      <c r="T931" s="53"/>
      <c r="U931" s="53"/>
      <c r="V931" s="53"/>
      <c r="W931" s="53"/>
      <c r="X931" s="53"/>
      <c r="AP931" s="54"/>
    </row>
    <row r="932" spans="1:42" ht="18" customHeight="1" x14ac:dyDescent="0.3">
      <c r="A932" s="7"/>
      <c r="H932" s="53"/>
      <c r="R932" s="53"/>
      <c r="T932" s="53"/>
      <c r="U932" s="53"/>
      <c r="V932" s="53"/>
      <c r="W932" s="53"/>
      <c r="X932" s="53"/>
      <c r="AP932" s="54"/>
    </row>
    <row r="933" spans="1:42" ht="18" customHeight="1" x14ac:dyDescent="0.3">
      <c r="A933" s="7"/>
      <c r="H933" s="53"/>
      <c r="R933" s="53"/>
      <c r="T933" s="53"/>
      <c r="U933" s="53"/>
      <c r="V933" s="53"/>
      <c r="W933" s="53"/>
      <c r="X933" s="53"/>
      <c r="AP933" s="54"/>
    </row>
    <row r="934" spans="1:42" ht="18" customHeight="1" x14ac:dyDescent="0.3">
      <c r="A934" s="7"/>
      <c r="H934" s="53"/>
      <c r="R934" s="53"/>
      <c r="T934" s="53"/>
      <c r="U934" s="53"/>
      <c r="V934" s="53"/>
      <c r="W934" s="53"/>
      <c r="X934" s="53"/>
      <c r="AP934" s="54"/>
    </row>
    <row r="935" spans="1:42" ht="18" customHeight="1" x14ac:dyDescent="0.3">
      <c r="A935" s="7"/>
      <c r="H935" s="53"/>
      <c r="R935" s="53"/>
      <c r="T935" s="53"/>
      <c r="U935" s="53"/>
      <c r="V935" s="53"/>
      <c r="W935" s="53"/>
      <c r="X935" s="53"/>
      <c r="AP935" s="54"/>
    </row>
    <row r="936" spans="1:42" ht="18" customHeight="1" x14ac:dyDescent="0.3">
      <c r="A936" s="7"/>
      <c r="H936" s="53"/>
      <c r="R936" s="53"/>
      <c r="T936" s="53"/>
      <c r="U936" s="53"/>
      <c r="V936" s="53"/>
      <c r="W936" s="53"/>
      <c r="X936" s="53"/>
      <c r="AP936" s="54"/>
    </row>
    <row r="937" spans="1:42" ht="18" customHeight="1" x14ac:dyDescent="0.3">
      <c r="A937" s="7"/>
      <c r="H937" s="53"/>
      <c r="R937" s="53"/>
      <c r="T937" s="53"/>
      <c r="U937" s="53"/>
      <c r="V937" s="53"/>
      <c r="W937" s="53"/>
      <c r="X937" s="53"/>
      <c r="AP937" s="54"/>
    </row>
    <row r="938" spans="1:42" ht="18" customHeight="1" x14ac:dyDescent="0.3">
      <c r="A938" s="7"/>
      <c r="H938" s="53"/>
      <c r="R938" s="53"/>
      <c r="T938" s="53"/>
      <c r="U938" s="53"/>
      <c r="V938" s="53"/>
      <c r="W938" s="53"/>
      <c r="X938" s="53"/>
      <c r="AP938" s="54"/>
    </row>
    <row r="939" spans="1:42" ht="18" customHeight="1" x14ac:dyDescent="0.3">
      <c r="A939" s="7"/>
      <c r="H939" s="53"/>
      <c r="R939" s="53"/>
      <c r="T939" s="53"/>
      <c r="U939" s="53"/>
      <c r="V939" s="53"/>
      <c r="W939" s="53"/>
      <c r="X939" s="53"/>
      <c r="AP939" s="54"/>
    </row>
    <row r="940" spans="1:42" ht="18" customHeight="1" x14ac:dyDescent="0.3">
      <c r="A940" s="7"/>
      <c r="H940" s="53"/>
      <c r="R940" s="53"/>
      <c r="T940" s="53"/>
      <c r="U940" s="53"/>
      <c r="V940" s="53"/>
      <c r="W940" s="53"/>
      <c r="X940" s="53"/>
      <c r="AP940" s="54"/>
    </row>
    <row r="941" spans="1:42" ht="18" customHeight="1" x14ac:dyDescent="0.3">
      <c r="A941" s="7"/>
      <c r="H941" s="53"/>
      <c r="R941" s="53"/>
      <c r="T941" s="53"/>
      <c r="U941" s="53"/>
      <c r="V941" s="53"/>
      <c r="W941" s="53"/>
      <c r="X941" s="53"/>
      <c r="AP941" s="54"/>
    </row>
    <row r="942" spans="1:42" ht="18" customHeight="1" x14ac:dyDescent="0.3">
      <c r="A942" s="7"/>
      <c r="H942" s="53"/>
      <c r="R942" s="53"/>
      <c r="T942" s="53"/>
      <c r="U942" s="53"/>
      <c r="V942" s="53"/>
      <c r="W942" s="53"/>
      <c r="X942" s="53"/>
      <c r="AP942" s="54"/>
    </row>
    <row r="943" spans="1:42" ht="18" customHeight="1" x14ac:dyDescent="0.3">
      <c r="A943" s="7"/>
      <c r="H943" s="53"/>
      <c r="R943" s="53"/>
      <c r="T943" s="53"/>
      <c r="U943" s="53"/>
      <c r="V943" s="53"/>
      <c r="W943" s="53"/>
      <c r="X943" s="53"/>
      <c r="AP943" s="54"/>
    </row>
    <row r="944" spans="1:42" ht="18" customHeight="1" x14ac:dyDescent="0.3">
      <c r="A944" s="7"/>
      <c r="H944" s="53"/>
      <c r="R944" s="53"/>
      <c r="T944" s="53"/>
      <c r="U944" s="53"/>
      <c r="V944" s="53"/>
      <c r="W944" s="53"/>
      <c r="X944" s="53"/>
      <c r="AP944" s="54"/>
    </row>
    <row r="945" spans="1:42" ht="18" customHeight="1" x14ac:dyDescent="0.3">
      <c r="A945" s="7"/>
      <c r="H945" s="53"/>
      <c r="R945" s="53"/>
      <c r="T945" s="53"/>
      <c r="U945" s="53"/>
      <c r="V945" s="53"/>
      <c r="W945" s="53"/>
      <c r="X945" s="53"/>
      <c r="AP945" s="54"/>
    </row>
    <row r="946" spans="1:42" ht="18" customHeight="1" x14ac:dyDescent="0.3">
      <c r="A946" s="7"/>
      <c r="H946" s="53"/>
      <c r="R946" s="53"/>
      <c r="T946" s="53"/>
      <c r="U946" s="53"/>
      <c r="V946" s="53"/>
      <c r="W946" s="53"/>
      <c r="X946" s="53"/>
      <c r="AP946" s="54"/>
    </row>
    <row r="947" spans="1:42" ht="18" customHeight="1" x14ac:dyDescent="0.3">
      <c r="A947" s="7"/>
      <c r="H947" s="53"/>
      <c r="R947" s="53"/>
      <c r="T947" s="53"/>
      <c r="U947" s="53"/>
      <c r="V947" s="53"/>
      <c r="W947" s="53"/>
      <c r="X947" s="53"/>
      <c r="AP947" s="54"/>
    </row>
    <row r="948" spans="1:42" ht="18" customHeight="1" x14ac:dyDescent="0.3">
      <c r="A948" s="7"/>
      <c r="H948" s="53"/>
      <c r="R948" s="53"/>
      <c r="T948" s="53"/>
      <c r="U948" s="53"/>
      <c r="V948" s="53"/>
      <c r="W948" s="53"/>
      <c r="X948" s="53"/>
      <c r="AP948" s="54"/>
    </row>
    <row r="949" spans="1:42" ht="18" customHeight="1" x14ac:dyDescent="0.3">
      <c r="A949" s="7"/>
      <c r="H949" s="53"/>
      <c r="R949" s="53"/>
      <c r="T949" s="53"/>
      <c r="U949" s="53"/>
      <c r="V949" s="53"/>
      <c r="W949" s="53"/>
      <c r="X949" s="53"/>
      <c r="AP949" s="54"/>
    </row>
    <row r="950" spans="1:42" ht="18" customHeight="1" x14ac:dyDescent="0.3">
      <c r="A950" s="7"/>
      <c r="H950" s="53"/>
      <c r="R950" s="53"/>
      <c r="T950" s="53"/>
      <c r="U950" s="53"/>
      <c r="V950" s="53"/>
      <c r="W950" s="53"/>
      <c r="X950" s="53"/>
      <c r="AP950" s="54"/>
    </row>
    <row r="951" spans="1:42" ht="18" customHeight="1" x14ac:dyDescent="0.3">
      <c r="A951" s="7"/>
      <c r="H951" s="53"/>
      <c r="R951" s="53"/>
      <c r="T951" s="53"/>
      <c r="U951" s="53"/>
      <c r="V951" s="53"/>
      <c r="W951" s="53"/>
      <c r="X951" s="53"/>
      <c r="AP951" s="54"/>
    </row>
    <row r="952" spans="1:42" ht="18" customHeight="1" x14ac:dyDescent="0.3">
      <c r="A952" s="7"/>
      <c r="H952" s="53"/>
      <c r="R952" s="53"/>
      <c r="T952" s="53"/>
      <c r="U952" s="53"/>
      <c r="V952" s="53"/>
      <c r="W952" s="53"/>
      <c r="X952" s="53"/>
      <c r="AP952" s="54"/>
    </row>
    <row r="953" spans="1:42" ht="18" customHeight="1" x14ac:dyDescent="0.3">
      <c r="A953" s="7"/>
      <c r="H953" s="53"/>
      <c r="R953" s="53"/>
      <c r="T953" s="53"/>
      <c r="U953" s="53"/>
      <c r="V953" s="53"/>
      <c r="W953" s="53"/>
      <c r="X953" s="53"/>
      <c r="AP953" s="54"/>
    </row>
    <row r="954" spans="1:42" ht="18" customHeight="1" x14ac:dyDescent="0.3">
      <c r="A954" s="7"/>
      <c r="H954" s="53"/>
      <c r="R954" s="53"/>
      <c r="T954" s="53"/>
      <c r="U954" s="53"/>
      <c r="V954" s="53"/>
      <c r="W954" s="53"/>
      <c r="X954" s="53"/>
      <c r="AP954" s="54"/>
    </row>
    <row r="955" spans="1:42" ht="18" customHeight="1" x14ac:dyDescent="0.3">
      <c r="A955" s="7"/>
      <c r="H955" s="53"/>
      <c r="R955" s="53"/>
      <c r="T955" s="53"/>
      <c r="U955" s="53"/>
      <c r="V955" s="53"/>
      <c r="W955" s="53"/>
      <c r="X955" s="53"/>
      <c r="AP955" s="54"/>
    </row>
    <row r="956" spans="1:42" ht="18" customHeight="1" x14ac:dyDescent="0.3">
      <c r="A956" s="7"/>
      <c r="H956" s="53"/>
      <c r="R956" s="53"/>
      <c r="T956" s="53"/>
      <c r="U956" s="53"/>
      <c r="V956" s="53"/>
      <c r="W956" s="53"/>
      <c r="X956" s="53"/>
      <c r="AP956" s="54"/>
    </row>
    <row r="957" spans="1:42" ht="18" customHeight="1" x14ac:dyDescent="0.3">
      <c r="A957" s="7"/>
      <c r="H957" s="53"/>
      <c r="R957" s="53"/>
      <c r="T957" s="53"/>
      <c r="U957" s="53"/>
      <c r="V957" s="53"/>
      <c r="W957" s="53"/>
      <c r="X957" s="53"/>
      <c r="AP957" s="54"/>
    </row>
    <row r="958" spans="1:42" ht="18" customHeight="1" x14ac:dyDescent="0.3">
      <c r="A958" s="7"/>
      <c r="H958" s="53"/>
      <c r="R958" s="53"/>
      <c r="T958" s="53"/>
      <c r="U958" s="53"/>
      <c r="V958" s="53"/>
      <c r="W958" s="53"/>
      <c r="X958" s="53"/>
      <c r="AP958" s="54"/>
    </row>
    <row r="959" spans="1:42" ht="18" customHeight="1" x14ac:dyDescent="0.3">
      <c r="A959" s="7"/>
      <c r="H959" s="53"/>
      <c r="R959" s="53"/>
      <c r="T959" s="53"/>
      <c r="U959" s="53"/>
      <c r="V959" s="53"/>
      <c r="W959" s="53"/>
      <c r="X959" s="53"/>
      <c r="AP959" s="54"/>
    </row>
    <row r="960" spans="1:42" ht="18" customHeight="1" x14ac:dyDescent="0.3">
      <c r="A960" s="7"/>
      <c r="H960" s="53"/>
      <c r="R960" s="53"/>
      <c r="T960" s="53"/>
      <c r="U960" s="53"/>
      <c r="V960" s="53"/>
      <c r="W960" s="53"/>
      <c r="X960" s="53"/>
      <c r="AP960" s="54"/>
    </row>
    <row r="961" spans="1:42" ht="18" customHeight="1" x14ac:dyDescent="0.3">
      <c r="A961" s="7"/>
      <c r="H961" s="53"/>
      <c r="R961" s="53"/>
      <c r="T961" s="53"/>
      <c r="U961" s="53"/>
      <c r="V961" s="53"/>
      <c r="W961" s="53"/>
      <c r="X961" s="53"/>
      <c r="AP961" s="54"/>
    </row>
    <row r="962" spans="1:42" ht="18" customHeight="1" x14ac:dyDescent="0.3">
      <c r="A962" s="7"/>
      <c r="H962" s="53"/>
      <c r="R962" s="53"/>
      <c r="T962" s="53"/>
      <c r="U962" s="53"/>
      <c r="V962" s="53"/>
      <c r="W962" s="53"/>
      <c r="X962" s="53"/>
      <c r="AP962" s="54"/>
    </row>
    <row r="963" spans="1:42" ht="18" customHeight="1" x14ac:dyDescent="0.3">
      <c r="A963" s="7"/>
      <c r="H963" s="53"/>
      <c r="R963" s="53"/>
      <c r="T963" s="53"/>
      <c r="U963" s="53"/>
      <c r="V963" s="53"/>
      <c r="W963" s="53"/>
      <c r="X963" s="53"/>
      <c r="AP963" s="54"/>
    </row>
    <row r="964" spans="1:42" ht="18" customHeight="1" x14ac:dyDescent="0.3">
      <c r="A964" s="7"/>
      <c r="H964" s="53"/>
      <c r="R964" s="53"/>
      <c r="T964" s="53"/>
      <c r="U964" s="53"/>
      <c r="V964" s="53"/>
      <c r="W964" s="53"/>
      <c r="X964" s="53"/>
      <c r="AP964" s="54"/>
    </row>
    <row r="965" spans="1:42" ht="18" customHeight="1" x14ac:dyDescent="0.3">
      <c r="A965" s="7"/>
      <c r="H965" s="53"/>
      <c r="R965" s="53"/>
      <c r="T965" s="53"/>
      <c r="U965" s="53"/>
      <c r="V965" s="53"/>
      <c r="W965" s="53"/>
      <c r="X965" s="53"/>
      <c r="AP965" s="54"/>
    </row>
    <row r="966" spans="1:42" ht="18" customHeight="1" x14ac:dyDescent="0.3">
      <c r="A966" s="7"/>
      <c r="H966" s="53"/>
      <c r="R966" s="53"/>
      <c r="T966" s="53"/>
      <c r="U966" s="53"/>
      <c r="V966" s="53"/>
      <c r="W966" s="53"/>
      <c r="X966" s="53"/>
      <c r="AP966" s="54"/>
    </row>
    <row r="967" spans="1:42" ht="18" customHeight="1" x14ac:dyDescent="0.3">
      <c r="A967" s="7"/>
      <c r="H967" s="53"/>
      <c r="R967" s="53"/>
      <c r="T967" s="53"/>
      <c r="U967" s="53"/>
      <c r="V967" s="53"/>
      <c r="W967" s="53"/>
      <c r="X967" s="53"/>
      <c r="AP967" s="54"/>
    </row>
    <row r="968" spans="1:42" ht="18" customHeight="1" x14ac:dyDescent="0.3">
      <c r="A968" s="7"/>
      <c r="H968" s="53"/>
      <c r="R968" s="53"/>
      <c r="T968" s="53"/>
      <c r="U968" s="53"/>
      <c r="V968" s="53"/>
      <c r="W968" s="53"/>
      <c r="X968" s="53"/>
      <c r="AP968" s="54"/>
    </row>
    <row r="969" spans="1:42" ht="18" customHeight="1" x14ac:dyDescent="0.3">
      <c r="A969" s="7"/>
      <c r="H969" s="53"/>
      <c r="R969" s="53"/>
      <c r="T969" s="53"/>
      <c r="U969" s="53"/>
      <c r="V969" s="53"/>
      <c r="W969" s="53"/>
      <c r="X969" s="53"/>
      <c r="AP969" s="54"/>
    </row>
    <row r="970" spans="1:42" ht="18" customHeight="1" x14ac:dyDescent="0.3">
      <c r="A970" s="7"/>
      <c r="H970" s="53"/>
      <c r="R970" s="53"/>
      <c r="T970" s="53"/>
      <c r="U970" s="53"/>
      <c r="V970" s="53"/>
      <c r="W970" s="53"/>
      <c r="X970" s="53"/>
      <c r="AP970" s="54"/>
    </row>
    <row r="971" spans="1:42" ht="18" customHeight="1" x14ac:dyDescent="0.3">
      <c r="A971" s="7"/>
      <c r="H971" s="53"/>
      <c r="R971" s="53"/>
      <c r="T971" s="53"/>
      <c r="U971" s="53"/>
      <c r="V971" s="53"/>
      <c r="W971" s="53"/>
      <c r="X971" s="53"/>
      <c r="AP971" s="54"/>
    </row>
    <row r="972" spans="1:42" ht="18" customHeight="1" x14ac:dyDescent="0.3">
      <c r="A972" s="7"/>
      <c r="H972" s="53"/>
      <c r="R972" s="53"/>
      <c r="T972" s="53"/>
      <c r="U972" s="53"/>
      <c r="V972" s="53"/>
      <c r="W972" s="53"/>
      <c r="X972" s="53"/>
      <c r="AP972" s="54"/>
    </row>
    <row r="973" spans="1:42" ht="18" customHeight="1" x14ac:dyDescent="0.3">
      <c r="A973" s="7"/>
      <c r="H973" s="53"/>
      <c r="R973" s="53"/>
      <c r="T973" s="53"/>
      <c r="U973" s="53"/>
      <c r="V973" s="53"/>
      <c r="W973" s="53"/>
      <c r="X973" s="53"/>
      <c r="AP973" s="54"/>
    </row>
    <row r="974" spans="1:42" ht="18" customHeight="1" x14ac:dyDescent="0.3">
      <c r="A974" s="7"/>
      <c r="H974" s="53"/>
      <c r="R974" s="53"/>
      <c r="T974" s="53"/>
      <c r="U974" s="53"/>
      <c r="V974" s="53"/>
      <c r="W974" s="53"/>
      <c r="X974" s="53"/>
      <c r="AP974" s="54"/>
    </row>
    <row r="975" spans="1:42" ht="18" customHeight="1" x14ac:dyDescent="0.3">
      <c r="A975" s="7"/>
      <c r="H975" s="53"/>
      <c r="R975" s="53"/>
      <c r="T975" s="53"/>
      <c r="U975" s="53"/>
      <c r="V975" s="53"/>
      <c r="W975" s="53"/>
      <c r="X975" s="53"/>
      <c r="AP975" s="54"/>
    </row>
    <row r="976" spans="1:42" ht="18" customHeight="1" x14ac:dyDescent="0.3">
      <c r="A976" s="7"/>
      <c r="H976" s="53"/>
      <c r="R976" s="53"/>
      <c r="T976" s="53"/>
      <c r="U976" s="53"/>
      <c r="V976" s="53"/>
      <c r="W976" s="53"/>
      <c r="X976" s="53"/>
      <c r="AP976" s="54"/>
    </row>
    <row r="977" spans="1:42" ht="18" customHeight="1" x14ac:dyDescent="0.3">
      <c r="A977" s="7"/>
      <c r="H977" s="53"/>
      <c r="R977" s="53"/>
      <c r="T977" s="53"/>
      <c r="U977" s="53"/>
      <c r="V977" s="53"/>
      <c r="W977" s="53"/>
      <c r="X977" s="53"/>
      <c r="AP977" s="54"/>
    </row>
    <row r="978" spans="1:42" ht="18" customHeight="1" x14ac:dyDescent="0.3">
      <c r="A978" s="7"/>
      <c r="H978" s="53"/>
      <c r="R978" s="53"/>
      <c r="T978" s="53"/>
      <c r="U978" s="53"/>
      <c r="V978" s="53"/>
      <c r="W978" s="53"/>
      <c r="X978" s="53"/>
      <c r="AP978" s="54"/>
    </row>
    <row r="979" spans="1:42" ht="18" customHeight="1" x14ac:dyDescent="0.3">
      <c r="A979" s="7"/>
      <c r="H979" s="53"/>
      <c r="R979" s="53"/>
      <c r="T979" s="53"/>
      <c r="U979" s="53"/>
      <c r="V979" s="53"/>
      <c r="W979" s="53"/>
      <c r="X979" s="53"/>
      <c r="AP979" s="54"/>
    </row>
    <row r="980" spans="1:42" ht="18" customHeight="1" x14ac:dyDescent="0.3">
      <c r="A980" s="7"/>
      <c r="H980" s="53"/>
      <c r="R980" s="53"/>
      <c r="T980" s="53"/>
      <c r="U980" s="53"/>
      <c r="V980" s="53"/>
      <c r="W980" s="53"/>
      <c r="X980" s="53"/>
      <c r="AP980" s="54"/>
    </row>
    <row r="981" spans="1:42" ht="18" customHeight="1" x14ac:dyDescent="0.3">
      <c r="A981" s="7"/>
      <c r="H981" s="53"/>
      <c r="R981" s="53"/>
      <c r="T981" s="53"/>
      <c r="U981" s="53"/>
      <c r="V981" s="53"/>
      <c r="W981" s="53"/>
      <c r="X981" s="53"/>
      <c r="AP981" s="54"/>
    </row>
    <row r="982" spans="1:42" ht="18" customHeight="1" x14ac:dyDescent="0.3">
      <c r="A982" s="7"/>
      <c r="H982" s="53"/>
      <c r="R982" s="53"/>
      <c r="T982" s="53"/>
      <c r="U982" s="53"/>
      <c r="V982" s="53"/>
      <c r="W982" s="53"/>
      <c r="X982" s="53"/>
      <c r="AP982" s="54"/>
    </row>
    <row r="983" spans="1:42" ht="18" customHeight="1" x14ac:dyDescent="0.3">
      <c r="A983" s="7"/>
      <c r="H983" s="53"/>
      <c r="R983" s="53"/>
      <c r="T983" s="53"/>
      <c r="U983" s="53"/>
      <c r="V983" s="53"/>
      <c r="W983" s="53"/>
      <c r="X983" s="53"/>
      <c r="AP983" s="54"/>
    </row>
    <row r="984" spans="1:42" ht="18" customHeight="1" x14ac:dyDescent="0.3">
      <c r="A984" s="7"/>
      <c r="H984" s="53"/>
      <c r="R984" s="53"/>
      <c r="T984" s="53"/>
      <c r="U984" s="53"/>
      <c r="V984" s="53"/>
      <c r="W984" s="53"/>
      <c r="X984" s="53"/>
      <c r="AP984" s="54"/>
    </row>
    <row r="985" spans="1:42" ht="18" customHeight="1" x14ac:dyDescent="0.3">
      <c r="A985" s="7"/>
      <c r="H985" s="53"/>
      <c r="R985" s="53"/>
      <c r="T985" s="53"/>
      <c r="U985" s="53"/>
      <c r="V985" s="53"/>
      <c r="W985" s="53"/>
      <c r="X985" s="53"/>
      <c r="AP985" s="54"/>
    </row>
    <row r="986" spans="1:42" ht="18" customHeight="1" x14ac:dyDescent="0.3">
      <c r="A986" s="7"/>
      <c r="H986" s="53"/>
      <c r="R986" s="53"/>
      <c r="T986" s="53"/>
      <c r="U986" s="53"/>
      <c r="V986" s="53"/>
      <c r="W986" s="53"/>
      <c r="X986" s="53"/>
      <c r="AP986" s="54"/>
    </row>
    <row r="987" spans="1:42" ht="18" customHeight="1" x14ac:dyDescent="0.3">
      <c r="A987" s="7"/>
      <c r="H987" s="53"/>
      <c r="R987" s="53"/>
      <c r="T987" s="53"/>
      <c r="U987" s="53"/>
      <c r="V987" s="53"/>
      <c r="W987" s="53"/>
      <c r="X987" s="53"/>
      <c r="AP987" s="54"/>
    </row>
    <row r="988" spans="1:42" ht="18" customHeight="1" x14ac:dyDescent="0.3">
      <c r="A988" s="7"/>
      <c r="H988" s="53"/>
      <c r="R988" s="53"/>
      <c r="T988" s="53"/>
      <c r="U988" s="53"/>
      <c r="V988" s="53"/>
      <c r="W988" s="53"/>
      <c r="X988" s="53"/>
      <c r="AP988" s="54"/>
    </row>
    <row r="989" spans="1:42" ht="18" customHeight="1" x14ac:dyDescent="0.3">
      <c r="A989" s="7"/>
      <c r="H989" s="53"/>
      <c r="R989" s="53"/>
      <c r="T989" s="53"/>
      <c r="U989" s="53"/>
      <c r="V989" s="53"/>
      <c r="W989" s="53"/>
      <c r="X989" s="53"/>
      <c r="AP989" s="54"/>
    </row>
    <row r="990" spans="1:42" ht="18" customHeight="1" x14ac:dyDescent="0.3">
      <c r="A990" s="7"/>
      <c r="H990" s="53"/>
      <c r="R990" s="53"/>
      <c r="T990" s="53"/>
      <c r="U990" s="53"/>
      <c r="V990" s="53"/>
      <c r="W990" s="53"/>
      <c r="X990" s="53"/>
      <c r="AP990" s="54"/>
    </row>
    <row r="991" spans="1:42" ht="18" customHeight="1" x14ac:dyDescent="0.3">
      <c r="A991" s="7"/>
      <c r="H991" s="53"/>
      <c r="R991" s="53"/>
      <c r="T991" s="53"/>
      <c r="U991" s="53"/>
      <c r="V991" s="53"/>
      <c r="W991" s="53"/>
      <c r="X991" s="53"/>
      <c r="AP991" s="54"/>
    </row>
    <row r="992" spans="1:42" ht="18" customHeight="1" x14ac:dyDescent="0.3">
      <c r="A992" s="7"/>
      <c r="H992" s="53"/>
      <c r="R992" s="53"/>
      <c r="T992" s="53"/>
      <c r="U992" s="53"/>
      <c r="V992" s="53"/>
      <c r="W992" s="53"/>
      <c r="X992" s="53"/>
      <c r="AP992" s="54"/>
    </row>
    <row r="993" spans="1:42" ht="18" customHeight="1" x14ac:dyDescent="0.3">
      <c r="A993" s="7"/>
      <c r="H993" s="53"/>
      <c r="R993" s="53"/>
      <c r="T993" s="53"/>
      <c r="U993" s="53"/>
      <c r="V993" s="53"/>
      <c r="W993" s="53"/>
      <c r="X993" s="53"/>
      <c r="AP993" s="54"/>
    </row>
    <row r="994" spans="1:42" ht="18" customHeight="1" x14ac:dyDescent="0.3">
      <c r="A994" s="7"/>
      <c r="H994" s="53"/>
      <c r="R994" s="53"/>
      <c r="T994" s="53"/>
      <c r="U994" s="53"/>
      <c r="V994" s="53"/>
      <c r="W994" s="53"/>
      <c r="X994" s="53"/>
      <c r="AP994" s="54"/>
    </row>
    <row r="995" spans="1:42" ht="18" customHeight="1" x14ac:dyDescent="0.3">
      <c r="A995" s="7"/>
      <c r="H995" s="53"/>
      <c r="R995" s="53"/>
      <c r="T995" s="53"/>
      <c r="U995" s="53"/>
      <c r="V995" s="53"/>
      <c r="W995" s="53"/>
      <c r="X995" s="53"/>
      <c r="AP995" s="54"/>
    </row>
    <row r="996" spans="1:42" ht="18" customHeight="1" x14ac:dyDescent="0.3">
      <c r="A996" s="7"/>
      <c r="H996" s="53"/>
      <c r="R996" s="53"/>
      <c r="T996" s="53"/>
      <c r="U996" s="53"/>
      <c r="V996" s="53"/>
      <c r="W996" s="53"/>
      <c r="X996" s="53"/>
      <c r="AP996" s="54"/>
    </row>
    <row r="997" spans="1:42" ht="18" customHeight="1" x14ac:dyDescent="0.3">
      <c r="A997" s="7"/>
      <c r="H997" s="53"/>
      <c r="R997" s="53"/>
      <c r="T997" s="53"/>
      <c r="U997" s="53"/>
      <c r="V997" s="53"/>
      <c r="W997" s="53"/>
      <c r="X997" s="53"/>
      <c r="AP997" s="54"/>
    </row>
    <row r="998" spans="1:42" ht="18" customHeight="1" x14ac:dyDescent="0.3">
      <c r="A998" s="7"/>
      <c r="H998" s="53"/>
      <c r="R998" s="53"/>
      <c r="T998" s="53"/>
      <c r="U998" s="53"/>
      <c r="V998" s="53"/>
      <c r="W998" s="53"/>
      <c r="X998" s="53"/>
      <c r="AP998" s="54"/>
    </row>
    <row r="999" spans="1:42" ht="18" customHeight="1" x14ac:dyDescent="0.3">
      <c r="A999" s="7"/>
      <c r="H999" s="53"/>
      <c r="R999" s="53"/>
      <c r="T999" s="53"/>
      <c r="U999" s="53"/>
      <c r="V999" s="53"/>
      <c r="W999" s="53"/>
      <c r="X999" s="53"/>
      <c r="AP999" s="54"/>
    </row>
    <row r="1000" spans="1:42" ht="18" customHeight="1" x14ac:dyDescent="0.3">
      <c r="A1000" s="7"/>
      <c r="H1000" s="53"/>
      <c r="R1000" s="53"/>
      <c r="T1000" s="53"/>
      <c r="U1000" s="53"/>
      <c r="V1000" s="53"/>
      <c r="W1000" s="53"/>
      <c r="X1000" s="53"/>
      <c r="AP1000" s="54"/>
    </row>
    <row r="1001" spans="1:42" ht="18" customHeight="1" x14ac:dyDescent="0.3">
      <c r="A1001" s="7"/>
      <c r="H1001" s="53"/>
      <c r="R1001" s="53"/>
      <c r="T1001" s="53"/>
      <c r="U1001" s="53"/>
      <c r="V1001" s="53"/>
      <c r="W1001" s="53"/>
      <c r="X1001" s="53"/>
      <c r="AP1001" s="54"/>
    </row>
    <row r="1002" spans="1:42" ht="18" customHeight="1" x14ac:dyDescent="0.3">
      <c r="A1002" s="7"/>
      <c r="H1002" s="53"/>
      <c r="R1002" s="53"/>
      <c r="T1002" s="53"/>
      <c r="U1002" s="53"/>
      <c r="V1002" s="53"/>
      <c r="W1002" s="53"/>
      <c r="X1002" s="53"/>
      <c r="AP1002" s="54"/>
    </row>
    <row r="1003" spans="1:42" ht="18" customHeight="1" x14ac:dyDescent="0.3">
      <c r="A1003" s="7"/>
      <c r="H1003" s="53"/>
      <c r="R1003" s="53"/>
      <c r="T1003" s="53"/>
      <c r="U1003" s="53"/>
      <c r="V1003" s="53"/>
      <c r="W1003" s="53"/>
      <c r="X1003" s="53"/>
      <c r="AP1003" s="54"/>
    </row>
    <row r="1004" spans="1:42" ht="18" customHeight="1" x14ac:dyDescent="0.3">
      <c r="A1004" s="7"/>
      <c r="H1004" s="53"/>
      <c r="R1004" s="53"/>
      <c r="T1004" s="53"/>
      <c r="U1004" s="53"/>
      <c r="V1004" s="53"/>
      <c r="W1004" s="53"/>
      <c r="X1004" s="53"/>
      <c r="AP1004" s="54"/>
    </row>
    <row r="1005" spans="1:42" ht="18" customHeight="1" x14ac:dyDescent="0.3">
      <c r="A1005" s="7"/>
      <c r="H1005" s="53"/>
      <c r="R1005" s="53"/>
      <c r="T1005" s="53"/>
      <c r="U1005" s="53"/>
      <c r="V1005" s="53"/>
      <c r="W1005" s="53"/>
      <c r="X1005" s="53"/>
      <c r="AP1005" s="54"/>
    </row>
    <row r="1006" spans="1:42" ht="18" customHeight="1" x14ac:dyDescent="0.3">
      <c r="A1006" s="7"/>
      <c r="H1006" s="53"/>
      <c r="R1006" s="53"/>
      <c r="T1006" s="53"/>
      <c r="U1006" s="53"/>
      <c r="V1006" s="53"/>
      <c r="W1006" s="53"/>
      <c r="X1006" s="53"/>
      <c r="AP1006" s="54"/>
    </row>
    <row r="1007" spans="1:42" ht="18" customHeight="1" x14ac:dyDescent="0.3">
      <c r="A1007" s="7"/>
      <c r="H1007" s="53"/>
      <c r="R1007" s="53"/>
      <c r="T1007" s="53"/>
      <c r="U1007" s="53"/>
      <c r="V1007" s="53"/>
      <c r="W1007" s="53"/>
      <c r="X1007" s="53"/>
      <c r="AP1007" s="54"/>
    </row>
  </sheetData>
  <autoFilter ref="A5:AO40" xr:uid="{00000000-0009-0000-0000-000001000000}"/>
  <mergeCells count="37">
    <mergeCell ref="Q3:X3"/>
    <mergeCell ref="Z4:AC4"/>
    <mergeCell ref="AD4:AG4"/>
    <mergeCell ref="A3:P3"/>
    <mergeCell ref="A1:AT1"/>
    <mergeCell ref="A55:B55"/>
    <mergeCell ref="C49:H49"/>
    <mergeCell ref="A50:A51"/>
    <mergeCell ref="C50:C51"/>
    <mergeCell ref="D50:F51"/>
    <mergeCell ref="G50:H51"/>
    <mergeCell ref="C55:J59"/>
    <mergeCell ref="D52:F52"/>
    <mergeCell ref="G52:H52"/>
    <mergeCell ref="I52:J52"/>
    <mergeCell ref="D53:F53"/>
    <mergeCell ref="G53:I53"/>
    <mergeCell ref="AQ4:AQ5"/>
    <mergeCell ref="AR4:AR5"/>
    <mergeCell ref="B47:AO47"/>
    <mergeCell ref="I49:J49"/>
    <mergeCell ref="B50:B51"/>
    <mergeCell ref="I50:J51"/>
    <mergeCell ref="K50:K51"/>
    <mergeCell ref="A42:AO42"/>
    <mergeCell ref="B43:AO43"/>
    <mergeCell ref="B44:AO44"/>
    <mergeCell ref="B45:AO45"/>
    <mergeCell ref="B46:AO46"/>
    <mergeCell ref="AH4:AK4"/>
    <mergeCell ref="AL4:AO4"/>
    <mergeCell ref="AS4:AS5"/>
    <mergeCell ref="AT4:AT5"/>
    <mergeCell ref="AB3:AO3"/>
    <mergeCell ref="AB2:AO2"/>
    <mergeCell ref="AP2:AT3"/>
    <mergeCell ref="AP4:AP5"/>
  </mergeCells>
  <conditionalFormatting sqref="J6 J35:J36">
    <cfRule type="cellIs" dxfId="34" priority="23" operator="equal">
      <formula>"Hilir"</formula>
    </cfRule>
  </conditionalFormatting>
  <conditionalFormatting sqref="J6:J39">
    <cfRule type="cellIs" dxfId="33" priority="27" operator="equal">
      <formula>"Enablers  (Logistics &amp; SDM)"</formula>
    </cfRule>
    <cfRule type="cellIs" dxfId="32" priority="32" operator="equal">
      <formula>"Hulu"</formula>
    </cfRule>
    <cfRule type="cellIs" dxfId="31" priority="31" operator="equal">
      <formula>"Hulu"</formula>
    </cfRule>
    <cfRule type="cellIs" dxfId="30" priority="30" operator="equal">
      <formula>"Hilir"</formula>
    </cfRule>
    <cfRule type="cellIs" dxfId="29" priority="29" operator="equal">
      <formula>"Midstream"</formula>
    </cfRule>
    <cfRule type="cellIs" dxfId="28" priority="28" operator="equal">
      <formula>"Enablers  (Financing &amp; Support)"</formula>
    </cfRule>
    <cfRule type="cellIs" dxfId="27" priority="24" operator="equal">
      <formula>"Enablers  (Charging / Swapping):"</formula>
    </cfRule>
    <cfRule type="cellIs" dxfId="26" priority="25" operator="equal">
      <formula>"Enablers  (Technology, Data &amp; Digital)"</formula>
    </cfRule>
    <cfRule type="cellIs" dxfId="25" priority="26" operator="equal">
      <formula>"Enablers  (Financing &amp; Support)"</formula>
    </cfRule>
  </conditionalFormatting>
  <conditionalFormatting sqref="J13 J19">
    <cfRule type="cellIs" dxfId="24" priority="33" operator="equal">
      <formula>"Enablers (Financing &amp; Support)"</formula>
    </cfRule>
  </conditionalFormatting>
  <conditionalFormatting sqref="J22:J24">
    <cfRule type="cellIs" dxfId="23" priority="34" operator="equal">
      <formula>"Enablers (Financing &amp; Support)"</formula>
    </cfRule>
  </conditionalFormatting>
  <conditionalFormatting sqref="J34">
    <cfRule type="cellIs" dxfId="22" priority="35" operator="equal">
      <formula>"Midstream"</formula>
    </cfRule>
  </conditionalFormatting>
  <conditionalFormatting sqref="J35:J39">
    <cfRule type="cellIs" dxfId="21" priority="36" operator="equal">
      <formula>"Hulu"</formula>
    </cfRule>
  </conditionalFormatting>
  <conditionalFormatting sqref="R6:R39">
    <cfRule type="cellIs" dxfId="20" priority="42" operator="equal">
      <formula>"WS1 – Business Development"</formula>
    </cfRule>
    <cfRule type="cellIs" dxfId="19" priority="41" operator="equal">
      <formula>"WS2 – Legal"</formula>
    </cfRule>
    <cfRule type="cellIs" dxfId="18" priority="40" operator="equal">
      <formula>"WS2 – Ecosystem"</formula>
    </cfRule>
    <cfRule type="cellIs" dxfId="17" priority="39" operator="equal">
      <formula>"WS3 – Innovation"</formula>
    </cfRule>
    <cfRule type="cellIs" dxfId="16" priority="38" operator="equal">
      <formula>"WS3 – Market &amp; Sales"</formula>
    </cfRule>
    <cfRule type="cellIs" dxfId="15" priority="37" operator="equal">
      <formula>"WS4 – Finance"</formula>
    </cfRule>
  </conditionalFormatting>
  <conditionalFormatting sqref="AP6:AP39 AO19">
    <cfRule type="cellIs" dxfId="14" priority="46" operator="equal">
      <formula>"Pending"</formula>
    </cfRule>
    <cfRule type="cellIs" dxfId="13" priority="43" operator="equal">
      <formula>"Not Applied"</formula>
    </cfRule>
    <cfRule type="cellIs" dxfId="12" priority="44" operator="equal">
      <formula>"Applied"</formula>
    </cfRule>
    <cfRule type="cellIs" dxfId="11" priority="45" operator="equal">
      <formula>"In Progress"</formula>
    </cfRule>
  </conditionalFormatting>
  <conditionalFormatting sqref="AQ6:AQ24">
    <cfRule type="cellIs" dxfId="10" priority="16" operator="equal">
      <formula>"Not Started"</formula>
    </cfRule>
    <cfRule type="cellIs" dxfId="9" priority="15" operator="equal">
      <formula>"Planned"</formula>
    </cfRule>
  </conditionalFormatting>
  <conditionalFormatting sqref="AQ6:AQ37">
    <cfRule type="cellIs" dxfId="8" priority="6" operator="equal">
      <formula>"Ongoing"</formula>
    </cfRule>
    <cfRule type="cellIs" dxfId="7" priority="5" operator="equal">
      <formula>"Completed"</formula>
    </cfRule>
  </conditionalFormatting>
  <conditionalFormatting sqref="AQ25:AQ37">
    <cfRule type="cellIs" dxfId="6" priority="8" operator="equal">
      <formula>"Not Started"</formula>
    </cfRule>
    <cfRule type="cellIs" dxfId="5" priority="7" operator="equal">
      <formula>"Planned"</formula>
    </cfRule>
  </conditionalFormatting>
  <conditionalFormatting sqref="AT6:AT24">
    <cfRule type="cellIs" dxfId="4" priority="10" operator="equal">
      <formula>"Maintain"</formula>
    </cfRule>
  </conditionalFormatting>
  <conditionalFormatting sqref="AT6:AT37">
    <cfRule type="cellIs" dxfId="3" priority="4" operator="equal">
      <formula>"Active"</formula>
    </cfRule>
    <cfRule type="cellIs" dxfId="2" priority="3" operator="equal">
      <formula>"Need Follow-Up"</formula>
    </cfRule>
    <cfRule type="cellIs" dxfId="1" priority="1" operator="equal">
      <formula>"Need Follow Up"</formula>
    </cfRule>
  </conditionalFormatting>
  <conditionalFormatting sqref="AT25:AT37">
    <cfRule type="cellIs" dxfId="0" priority="2" operator="equal">
      <formula>"Maintain"</formula>
    </cfRule>
  </conditionalFormatting>
  <dataValidations count="5">
    <dataValidation type="list" allowBlank="1" showErrorMessage="1" sqref="V6:V10 V12:V37" xr:uid="{00000000-0002-0000-0100-000000000000}">
      <formula1>"Accompany,Co-Lead,Support"</formula1>
    </dataValidation>
    <dataValidation type="list" allowBlank="1" showErrorMessage="1" sqref="R6:R37" xr:uid="{00000000-0002-0000-0100-000001000000}">
      <formula1>"WS1 – Business Development,WS2 – Legal,WS2 – Ecosystem,WS3 – Innovation,WS3 – Market &amp; Sales,WS4 – Finance"</formula1>
    </dataValidation>
    <dataValidation type="list" allowBlank="1" showErrorMessage="1" sqref="AP6:AP37" xr:uid="{00000000-0002-0000-0100-000002000000}">
      <formula1>"Pending,In Progress,Applied,Not Applied"</formula1>
    </dataValidation>
    <dataValidation type="list" allowBlank="1" showInputMessage="1" showErrorMessage="1" sqref="AQ6:AQ37" xr:uid="{0A25063C-D565-4D20-AFE8-394751565FD6}">
      <formula1>"Not Started, Planned, Ongoing, Completed"</formula1>
    </dataValidation>
    <dataValidation type="list" allowBlank="1" showInputMessage="1" showErrorMessage="1" sqref="AT6:AT37" xr:uid="{9BA4B35A-BAE5-4124-988F-CBE47E0062D0}">
      <formula1>"Active, Need Follow Up, Maintain"</formula1>
    </dataValidation>
  </dataValidations>
  <pageMargins left="0.75" right="0.75" top="1" bottom="1"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H100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ColWidth="14.42578125" defaultRowHeight="15" customHeight="1" x14ac:dyDescent="0.25"/>
  <cols>
    <col min="1" max="1" width="19.42578125" customWidth="1"/>
    <col min="2" max="2" width="7.28515625" customWidth="1"/>
    <col min="3" max="3" width="29.28515625" customWidth="1"/>
    <col min="4" max="4" width="34.7109375" customWidth="1"/>
    <col min="5" max="5" width="27.28515625" customWidth="1"/>
    <col min="6" max="6" width="30.28515625" customWidth="1"/>
    <col min="7" max="7" width="33.140625" customWidth="1"/>
    <col min="8" max="8" width="40.28515625" customWidth="1"/>
    <col min="9" max="26" width="9" customWidth="1"/>
  </cols>
  <sheetData>
    <row r="1" spans="1:8" ht="14.25" customHeight="1" x14ac:dyDescent="0.25">
      <c r="A1" s="244" t="s">
        <v>2</v>
      </c>
      <c r="B1" s="178"/>
      <c r="C1" s="178"/>
      <c r="D1" s="178"/>
      <c r="E1" s="178"/>
      <c r="F1" s="178"/>
      <c r="G1" s="178"/>
      <c r="H1" s="179"/>
    </row>
    <row r="2" spans="1:8" ht="14.25" customHeight="1" x14ac:dyDescent="0.25">
      <c r="A2" s="245" t="s">
        <v>8</v>
      </c>
      <c r="B2" s="187"/>
      <c r="C2" s="187"/>
      <c r="D2" s="187"/>
      <c r="E2" s="187"/>
      <c r="F2" s="187"/>
      <c r="G2" s="187"/>
      <c r="H2" s="187"/>
    </row>
    <row r="3" spans="1:8" ht="14.25" customHeight="1" x14ac:dyDescent="0.25">
      <c r="A3" s="5"/>
      <c r="B3" s="7"/>
      <c r="C3" s="5"/>
      <c r="D3" s="5"/>
      <c r="E3" s="5"/>
    </row>
    <row r="4" spans="1:8" ht="14.25" customHeight="1" x14ac:dyDescent="0.25">
      <c r="A4" s="246" t="s">
        <v>15</v>
      </c>
      <c r="B4" s="247"/>
      <c r="C4" s="247"/>
      <c r="D4" s="247"/>
      <c r="E4" s="247"/>
      <c r="F4" s="247"/>
      <c r="G4" s="247"/>
      <c r="H4" s="248"/>
    </row>
    <row r="5" spans="1:8" ht="14.25" customHeight="1" x14ac:dyDescent="0.25">
      <c r="A5" s="5"/>
      <c r="B5" s="7"/>
      <c r="C5" s="5"/>
      <c r="D5" s="5"/>
      <c r="E5" s="5"/>
    </row>
    <row r="6" spans="1:8" ht="14.25" customHeight="1" x14ac:dyDescent="0.25">
      <c r="A6" s="11" t="s">
        <v>31</v>
      </c>
      <c r="B6" s="11" t="s">
        <v>36</v>
      </c>
      <c r="C6" s="11" t="s">
        <v>37</v>
      </c>
      <c r="D6" s="11" t="s">
        <v>39</v>
      </c>
      <c r="E6" s="11" t="s">
        <v>41</v>
      </c>
      <c r="F6" s="11" t="s">
        <v>43</v>
      </c>
      <c r="G6" s="11" t="s">
        <v>44</v>
      </c>
      <c r="H6" s="11" t="s">
        <v>45</v>
      </c>
    </row>
    <row r="7" spans="1:8" ht="14.25" customHeight="1" x14ac:dyDescent="0.25">
      <c r="A7" s="12" t="s">
        <v>46</v>
      </c>
      <c r="B7" s="13">
        <v>0.3</v>
      </c>
      <c r="C7" s="14" t="s">
        <v>51</v>
      </c>
      <c r="D7" s="15" t="s">
        <v>52</v>
      </c>
      <c r="E7" s="16" t="s">
        <v>54</v>
      </c>
      <c r="F7" s="17" t="s">
        <v>55</v>
      </c>
      <c r="G7" s="18" t="s">
        <v>60</v>
      </c>
      <c r="H7" s="19" t="s">
        <v>65</v>
      </c>
    </row>
    <row r="8" spans="1:8" ht="14.25" customHeight="1" x14ac:dyDescent="0.25">
      <c r="A8" s="12" t="s">
        <v>67</v>
      </c>
      <c r="B8" s="13">
        <v>0.25</v>
      </c>
      <c r="C8" s="14" t="s">
        <v>68</v>
      </c>
      <c r="D8" s="15" t="s">
        <v>70</v>
      </c>
      <c r="E8" s="16" t="s">
        <v>72</v>
      </c>
      <c r="F8" s="17" t="s">
        <v>73</v>
      </c>
      <c r="G8" s="18" t="s">
        <v>74</v>
      </c>
      <c r="H8" s="19" t="s">
        <v>76</v>
      </c>
    </row>
    <row r="9" spans="1:8" ht="14.25" customHeight="1" x14ac:dyDescent="0.25">
      <c r="A9" s="12" t="s">
        <v>78</v>
      </c>
      <c r="B9" s="13">
        <v>0.25</v>
      </c>
      <c r="C9" s="14" t="s">
        <v>80</v>
      </c>
      <c r="D9" s="15" t="s">
        <v>81</v>
      </c>
      <c r="E9" s="16" t="s">
        <v>83</v>
      </c>
      <c r="F9" s="17" t="s">
        <v>85</v>
      </c>
      <c r="G9" s="18" t="s">
        <v>87</v>
      </c>
      <c r="H9" s="19" t="s">
        <v>88</v>
      </c>
    </row>
    <row r="10" spans="1:8" ht="14.25" customHeight="1" x14ac:dyDescent="0.25">
      <c r="A10" s="12" t="s">
        <v>90</v>
      </c>
      <c r="B10" s="13">
        <v>0.2</v>
      </c>
      <c r="C10" s="14" t="s">
        <v>93</v>
      </c>
      <c r="D10" s="15" t="s">
        <v>94</v>
      </c>
      <c r="E10" s="16" t="s">
        <v>95</v>
      </c>
      <c r="F10" s="17" t="s">
        <v>96</v>
      </c>
      <c r="G10" s="18" t="s">
        <v>97</v>
      </c>
      <c r="H10" s="19" t="s">
        <v>98</v>
      </c>
    </row>
    <row r="11" spans="1:8" ht="14.25" customHeight="1" x14ac:dyDescent="0.25">
      <c r="A11" s="5"/>
      <c r="B11" s="7"/>
      <c r="C11" s="5"/>
      <c r="D11" s="5"/>
      <c r="E11" s="5"/>
    </row>
    <row r="12" spans="1:8" ht="14.25" customHeight="1" x14ac:dyDescent="0.25">
      <c r="A12" s="249" t="s">
        <v>101</v>
      </c>
      <c r="B12" s="189"/>
      <c r="C12" s="189"/>
      <c r="D12" s="189"/>
      <c r="E12" s="189"/>
      <c r="F12" s="189"/>
      <c r="G12" s="189"/>
      <c r="H12" s="190"/>
    </row>
    <row r="13" spans="1:8" ht="14.25" customHeight="1" x14ac:dyDescent="0.25">
      <c r="A13" s="20" t="s">
        <v>46</v>
      </c>
      <c r="B13" s="243" t="s">
        <v>110</v>
      </c>
      <c r="C13" s="189"/>
      <c r="D13" s="189"/>
      <c r="E13" s="189"/>
      <c r="F13" s="189"/>
      <c r="G13" s="189"/>
      <c r="H13" s="190"/>
    </row>
    <row r="14" spans="1:8" ht="14.25" customHeight="1" x14ac:dyDescent="0.25">
      <c r="A14" s="20" t="s">
        <v>120</v>
      </c>
      <c r="B14" s="243" t="s">
        <v>121</v>
      </c>
      <c r="C14" s="189"/>
      <c r="D14" s="189"/>
      <c r="E14" s="189"/>
      <c r="F14" s="189"/>
      <c r="G14" s="189"/>
      <c r="H14" s="190"/>
    </row>
    <row r="15" spans="1:8" ht="14.25" customHeight="1" x14ac:dyDescent="0.25">
      <c r="A15" s="20" t="s">
        <v>78</v>
      </c>
      <c r="B15" s="243" t="s">
        <v>128</v>
      </c>
      <c r="C15" s="189"/>
      <c r="D15" s="189"/>
      <c r="E15" s="189"/>
      <c r="F15" s="189"/>
      <c r="G15" s="189"/>
      <c r="H15" s="190"/>
    </row>
    <row r="16" spans="1:8" ht="14.25" customHeight="1" x14ac:dyDescent="0.25">
      <c r="A16" s="20" t="s">
        <v>90</v>
      </c>
      <c r="B16" s="243" t="s">
        <v>132</v>
      </c>
      <c r="C16" s="189"/>
      <c r="D16" s="189"/>
      <c r="E16" s="189"/>
      <c r="F16" s="189"/>
      <c r="G16" s="189"/>
      <c r="H16" s="190"/>
    </row>
    <row r="17" spans="1:5" ht="14.25" customHeight="1" x14ac:dyDescent="0.25">
      <c r="A17" s="5"/>
      <c r="B17" s="7"/>
      <c r="C17" s="5"/>
      <c r="D17" s="5"/>
      <c r="E17" s="5"/>
    </row>
    <row r="18" spans="1:5" ht="14.25" customHeight="1" x14ac:dyDescent="0.25">
      <c r="B18" s="5"/>
    </row>
    <row r="19" spans="1:5" ht="14.25" customHeight="1" x14ac:dyDescent="0.25">
      <c r="B19" s="5"/>
    </row>
    <row r="20" spans="1:5" ht="14.25" customHeight="1" x14ac:dyDescent="0.25">
      <c r="B20" s="5"/>
    </row>
    <row r="21" spans="1:5" ht="14.25" customHeight="1" x14ac:dyDescent="0.25">
      <c r="B21" s="5"/>
    </row>
    <row r="22" spans="1:5" ht="14.25" customHeight="1" x14ac:dyDescent="0.25">
      <c r="B22" s="5"/>
    </row>
    <row r="23" spans="1:5" ht="14.25" customHeight="1" x14ac:dyDescent="0.25">
      <c r="B23" s="5"/>
    </row>
    <row r="24" spans="1:5" ht="14.25" customHeight="1" x14ac:dyDescent="0.25">
      <c r="B24" s="5"/>
    </row>
    <row r="25" spans="1:5" ht="14.25" customHeight="1" x14ac:dyDescent="0.25">
      <c r="B25" s="5"/>
    </row>
    <row r="26" spans="1:5" ht="14.25" customHeight="1" x14ac:dyDescent="0.25">
      <c r="B26" s="5"/>
    </row>
    <row r="27" spans="1:5" ht="14.25" customHeight="1" x14ac:dyDescent="0.25">
      <c r="B27" s="5"/>
    </row>
    <row r="28" spans="1:5" ht="14.25" customHeight="1" x14ac:dyDescent="0.25">
      <c r="B28" s="5"/>
    </row>
    <row r="29" spans="1:5" ht="14.25" customHeight="1" x14ac:dyDescent="0.25">
      <c r="B29" s="5"/>
    </row>
    <row r="30" spans="1:5" ht="14.25" customHeight="1" x14ac:dyDescent="0.25">
      <c r="B30" s="5"/>
    </row>
    <row r="31" spans="1:5" ht="14.25" customHeight="1" x14ac:dyDescent="0.25">
      <c r="B31" s="5"/>
    </row>
    <row r="32" spans="1:5" ht="14.25" customHeight="1" x14ac:dyDescent="0.25">
      <c r="B32" s="5"/>
    </row>
    <row r="33" spans="2:2" ht="14.25" customHeight="1" x14ac:dyDescent="0.25">
      <c r="B33" s="5"/>
    </row>
    <row r="34" spans="2:2" ht="14.25" customHeight="1" x14ac:dyDescent="0.25">
      <c r="B34" s="5"/>
    </row>
    <row r="35" spans="2:2" ht="14.25" customHeight="1" x14ac:dyDescent="0.25">
      <c r="B35" s="5"/>
    </row>
    <row r="36" spans="2:2" ht="14.25" customHeight="1" x14ac:dyDescent="0.25">
      <c r="B36" s="5"/>
    </row>
    <row r="37" spans="2:2" ht="14.25" customHeight="1" x14ac:dyDescent="0.25">
      <c r="B37" s="5"/>
    </row>
    <row r="38" spans="2:2" ht="14.25" customHeight="1" x14ac:dyDescent="0.25">
      <c r="B38" s="5"/>
    </row>
    <row r="39" spans="2:2" ht="14.25" customHeight="1" x14ac:dyDescent="0.25">
      <c r="B39" s="5"/>
    </row>
    <row r="40" spans="2:2" ht="14.25" customHeight="1" x14ac:dyDescent="0.25">
      <c r="B40" s="5"/>
    </row>
    <row r="41" spans="2:2" ht="14.25" customHeight="1" x14ac:dyDescent="0.25">
      <c r="B41" s="5"/>
    </row>
    <row r="42" spans="2:2" ht="14.25" customHeight="1" x14ac:dyDescent="0.25">
      <c r="B42" s="5"/>
    </row>
    <row r="43" spans="2:2" ht="14.25" customHeight="1" x14ac:dyDescent="0.25">
      <c r="B43" s="5"/>
    </row>
    <row r="44" spans="2:2" ht="14.25" customHeight="1" x14ac:dyDescent="0.25">
      <c r="B44" s="5"/>
    </row>
    <row r="45" spans="2:2" ht="14.25" customHeight="1" x14ac:dyDescent="0.25">
      <c r="B45" s="5"/>
    </row>
    <row r="46" spans="2:2" ht="14.25" customHeight="1" x14ac:dyDescent="0.25">
      <c r="B46" s="5"/>
    </row>
    <row r="47" spans="2:2" ht="14.25" customHeight="1" x14ac:dyDescent="0.25">
      <c r="B47" s="5"/>
    </row>
    <row r="48" spans="2:2" ht="14.25" customHeight="1" x14ac:dyDescent="0.25">
      <c r="B48" s="5"/>
    </row>
    <row r="49" spans="2:2" ht="14.25" customHeight="1" x14ac:dyDescent="0.25">
      <c r="B49" s="5"/>
    </row>
    <row r="50" spans="2:2" ht="14.25" customHeight="1" x14ac:dyDescent="0.25">
      <c r="B50" s="5"/>
    </row>
    <row r="51" spans="2:2" ht="14.25" customHeight="1" x14ac:dyDescent="0.25">
      <c r="B51" s="5"/>
    </row>
    <row r="52" spans="2:2" ht="14.25" customHeight="1" x14ac:dyDescent="0.25">
      <c r="B52" s="5"/>
    </row>
    <row r="53" spans="2:2" ht="14.25" customHeight="1" x14ac:dyDescent="0.25">
      <c r="B53" s="5"/>
    </row>
    <row r="54" spans="2:2" ht="14.25" customHeight="1" x14ac:dyDescent="0.25">
      <c r="B54" s="5"/>
    </row>
    <row r="55" spans="2:2" ht="14.25" customHeight="1" x14ac:dyDescent="0.25">
      <c r="B55" s="5"/>
    </row>
    <row r="56" spans="2:2" ht="14.25" customHeight="1" x14ac:dyDescent="0.25">
      <c r="B56" s="5"/>
    </row>
    <row r="57" spans="2:2" ht="14.25" customHeight="1" x14ac:dyDescent="0.25">
      <c r="B57" s="5"/>
    </row>
    <row r="58" spans="2:2" ht="14.25" customHeight="1" x14ac:dyDescent="0.25">
      <c r="B58" s="5"/>
    </row>
    <row r="59" spans="2:2" ht="14.25" customHeight="1" x14ac:dyDescent="0.25">
      <c r="B59" s="5"/>
    </row>
    <row r="60" spans="2:2" ht="14.25" customHeight="1" x14ac:dyDescent="0.25">
      <c r="B60" s="5"/>
    </row>
    <row r="61" spans="2:2" ht="14.25" customHeight="1" x14ac:dyDescent="0.25">
      <c r="B61" s="5"/>
    </row>
    <row r="62" spans="2:2" ht="14.25" customHeight="1" x14ac:dyDescent="0.25">
      <c r="B62" s="5"/>
    </row>
    <row r="63" spans="2:2" ht="14.25" customHeight="1" x14ac:dyDescent="0.25">
      <c r="B63" s="5"/>
    </row>
    <row r="64" spans="2:2" ht="14.25" customHeight="1" x14ac:dyDescent="0.25">
      <c r="B64" s="5"/>
    </row>
    <row r="65" spans="2:2" ht="14.25" customHeight="1" x14ac:dyDescent="0.25">
      <c r="B65" s="5"/>
    </row>
    <row r="66" spans="2:2" ht="14.25" customHeight="1" x14ac:dyDescent="0.25">
      <c r="B66" s="5"/>
    </row>
    <row r="67" spans="2:2" ht="14.25" customHeight="1" x14ac:dyDescent="0.25">
      <c r="B67" s="5"/>
    </row>
    <row r="68" spans="2:2" ht="14.25" customHeight="1" x14ac:dyDescent="0.25">
      <c r="B68" s="5"/>
    </row>
    <row r="69" spans="2:2" ht="14.25" customHeight="1" x14ac:dyDescent="0.25">
      <c r="B69" s="5"/>
    </row>
    <row r="70" spans="2:2" ht="14.25" customHeight="1" x14ac:dyDescent="0.25">
      <c r="B70" s="5"/>
    </row>
    <row r="71" spans="2:2" ht="14.25" customHeight="1" x14ac:dyDescent="0.25">
      <c r="B71" s="5"/>
    </row>
    <row r="72" spans="2:2" ht="14.25" customHeight="1" x14ac:dyDescent="0.25">
      <c r="B72" s="5"/>
    </row>
    <row r="73" spans="2:2" ht="14.25" customHeight="1" x14ac:dyDescent="0.25">
      <c r="B73" s="5"/>
    </row>
    <row r="74" spans="2:2" ht="14.25" customHeight="1" x14ac:dyDescent="0.25">
      <c r="B74" s="5"/>
    </row>
    <row r="75" spans="2:2" ht="14.25" customHeight="1" x14ac:dyDescent="0.25">
      <c r="B75" s="5"/>
    </row>
    <row r="76" spans="2:2" ht="14.25" customHeight="1" x14ac:dyDescent="0.25">
      <c r="B76" s="5"/>
    </row>
    <row r="77" spans="2:2" ht="14.25" customHeight="1" x14ac:dyDescent="0.25">
      <c r="B77" s="5"/>
    </row>
    <row r="78" spans="2:2" ht="14.25" customHeight="1" x14ac:dyDescent="0.25">
      <c r="B78" s="5"/>
    </row>
    <row r="79" spans="2:2" ht="14.25" customHeight="1" x14ac:dyDescent="0.25">
      <c r="B79" s="5"/>
    </row>
    <row r="80" spans="2:2" ht="14.25" customHeight="1" x14ac:dyDescent="0.25">
      <c r="B80" s="5"/>
    </row>
    <row r="81" spans="2:2" ht="14.25" customHeight="1" x14ac:dyDescent="0.25">
      <c r="B81" s="5"/>
    </row>
    <row r="82" spans="2:2" ht="14.25" customHeight="1" x14ac:dyDescent="0.25">
      <c r="B82" s="5"/>
    </row>
    <row r="83" spans="2:2" ht="14.25" customHeight="1" x14ac:dyDescent="0.25">
      <c r="B83" s="5"/>
    </row>
    <row r="84" spans="2:2" ht="14.25" customHeight="1" x14ac:dyDescent="0.25">
      <c r="B84" s="5"/>
    </row>
    <row r="85" spans="2:2" ht="14.25" customHeight="1" x14ac:dyDescent="0.25">
      <c r="B85" s="5"/>
    </row>
    <row r="86" spans="2:2" ht="14.25" customHeight="1" x14ac:dyDescent="0.25">
      <c r="B86" s="5"/>
    </row>
    <row r="87" spans="2:2" ht="14.25" customHeight="1" x14ac:dyDescent="0.25">
      <c r="B87" s="5"/>
    </row>
    <row r="88" spans="2:2" ht="14.25" customHeight="1" x14ac:dyDescent="0.25">
      <c r="B88" s="5"/>
    </row>
    <row r="89" spans="2:2" ht="14.25" customHeight="1" x14ac:dyDescent="0.25">
      <c r="B89" s="5"/>
    </row>
    <row r="90" spans="2:2" ht="14.25" customHeight="1" x14ac:dyDescent="0.25">
      <c r="B90" s="5"/>
    </row>
    <row r="91" spans="2:2" ht="14.25" customHeight="1" x14ac:dyDescent="0.25">
      <c r="B91" s="5"/>
    </row>
    <row r="92" spans="2:2" ht="14.25" customHeight="1" x14ac:dyDescent="0.25">
      <c r="B92" s="5"/>
    </row>
    <row r="93" spans="2:2" ht="14.25" customHeight="1" x14ac:dyDescent="0.25">
      <c r="B93" s="5"/>
    </row>
    <row r="94" spans="2:2" ht="14.25" customHeight="1" x14ac:dyDescent="0.25">
      <c r="B94" s="5"/>
    </row>
    <row r="95" spans="2:2" ht="14.25" customHeight="1" x14ac:dyDescent="0.25">
      <c r="B95" s="5"/>
    </row>
    <row r="96" spans="2:2" ht="14.25" customHeight="1" x14ac:dyDescent="0.25">
      <c r="B96" s="5"/>
    </row>
    <row r="97" spans="2:2" ht="14.25" customHeight="1" x14ac:dyDescent="0.25">
      <c r="B97" s="5"/>
    </row>
    <row r="98" spans="2:2" ht="14.25" customHeight="1" x14ac:dyDescent="0.25">
      <c r="B98" s="5"/>
    </row>
    <row r="99" spans="2:2" ht="14.25" customHeight="1" x14ac:dyDescent="0.25">
      <c r="B99" s="5"/>
    </row>
    <row r="100" spans="2:2" ht="14.25" customHeight="1" x14ac:dyDescent="0.25">
      <c r="B100" s="5"/>
    </row>
    <row r="101" spans="2:2" ht="14.25" customHeight="1" x14ac:dyDescent="0.25">
      <c r="B101" s="5"/>
    </row>
    <row r="102" spans="2:2" ht="14.25" customHeight="1" x14ac:dyDescent="0.25">
      <c r="B102" s="5"/>
    </row>
    <row r="103" spans="2:2" ht="14.25" customHeight="1" x14ac:dyDescent="0.25">
      <c r="B103" s="5"/>
    </row>
    <row r="104" spans="2:2" ht="14.25" customHeight="1" x14ac:dyDescent="0.25">
      <c r="B104" s="5"/>
    </row>
    <row r="105" spans="2:2" ht="14.25" customHeight="1" x14ac:dyDescent="0.25">
      <c r="B105" s="5"/>
    </row>
    <row r="106" spans="2:2" ht="14.25" customHeight="1" x14ac:dyDescent="0.25">
      <c r="B106" s="5"/>
    </row>
    <row r="107" spans="2:2" ht="14.25" customHeight="1" x14ac:dyDescent="0.25">
      <c r="B107" s="5"/>
    </row>
    <row r="108" spans="2:2" ht="14.25" customHeight="1" x14ac:dyDescent="0.25">
      <c r="B108" s="5"/>
    </row>
    <row r="109" spans="2:2" ht="14.25" customHeight="1" x14ac:dyDescent="0.25">
      <c r="B109" s="5"/>
    </row>
    <row r="110" spans="2:2" ht="14.25" customHeight="1" x14ac:dyDescent="0.25">
      <c r="B110" s="5"/>
    </row>
    <row r="111" spans="2:2" ht="14.25" customHeight="1" x14ac:dyDescent="0.25">
      <c r="B111" s="5"/>
    </row>
    <row r="112" spans="2:2" ht="14.25" customHeight="1" x14ac:dyDescent="0.25">
      <c r="B112" s="5"/>
    </row>
    <row r="113" spans="2:2" ht="14.25" customHeight="1" x14ac:dyDescent="0.25">
      <c r="B113" s="5"/>
    </row>
    <row r="114" spans="2:2" ht="14.25" customHeight="1" x14ac:dyDescent="0.25">
      <c r="B114" s="5"/>
    </row>
    <row r="115" spans="2:2" ht="14.25" customHeight="1" x14ac:dyDescent="0.25">
      <c r="B115" s="5"/>
    </row>
    <row r="116" spans="2:2" ht="14.25" customHeight="1" x14ac:dyDescent="0.25">
      <c r="B116" s="5"/>
    </row>
    <row r="117" spans="2:2" ht="14.25" customHeight="1" x14ac:dyDescent="0.25">
      <c r="B117" s="5"/>
    </row>
    <row r="118" spans="2:2" ht="14.25" customHeight="1" x14ac:dyDescent="0.25">
      <c r="B118" s="5"/>
    </row>
    <row r="119" spans="2:2" ht="14.25" customHeight="1" x14ac:dyDescent="0.25">
      <c r="B119" s="5"/>
    </row>
    <row r="120" spans="2:2" ht="14.25" customHeight="1" x14ac:dyDescent="0.25">
      <c r="B120" s="5"/>
    </row>
    <row r="121" spans="2:2" ht="14.25" customHeight="1" x14ac:dyDescent="0.25">
      <c r="B121" s="5"/>
    </row>
    <row r="122" spans="2:2" ht="14.25" customHeight="1" x14ac:dyDescent="0.25">
      <c r="B122" s="5"/>
    </row>
    <row r="123" spans="2:2" ht="14.25" customHeight="1" x14ac:dyDescent="0.25">
      <c r="B123" s="5"/>
    </row>
    <row r="124" spans="2:2" ht="14.25" customHeight="1" x14ac:dyDescent="0.25">
      <c r="B124" s="5"/>
    </row>
    <row r="125" spans="2:2" ht="14.25" customHeight="1" x14ac:dyDescent="0.25">
      <c r="B125" s="5"/>
    </row>
    <row r="126" spans="2:2" ht="14.25" customHeight="1" x14ac:dyDescent="0.25">
      <c r="B126" s="5"/>
    </row>
    <row r="127" spans="2:2" ht="14.25" customHeight="1" x14ac:dyDescent="0.25">
      <c r="B127" s="5"/>
    </row>
    <row r="128" spans="2:2" ht="14.25" customHeight="1" x14ac:dyDescent="0.25">
      <c r="B128" s="5"/>
    </row>
    <row r="129" spans="2:2" ht="14.25" customHeight="1" x14ac:dyDescent="0.25">
      <c r="B129" s="5"/>
    </row>
    <row r="130" spans="2:2" ht="14.25" customHeight="1" x14ac:dyDescent="0.25">
      <c r="B130" s="5"/>
    </row>
    <row r="131" spans="2:2" ht="14.25" customHeight="1" x14ac:dyDescent="0.25">
      <c r="B131" s="5"/>
    </row>
    <row r="132" spans="2:2" ht="14.25" customHeight="1" x14ac:dyDescent="0.25">
      <c r="B132" s="5"/>
    </row>
    <row r="133" spans="2:2" ht="14.25" customHeight="1" x14ac:dyDescent="0.25">
      <c r="B133" s="5"/>
    </row>
    <row r="134" spans="2:2" ht="14.25" customHeight="1" x14ac:dyDescent="0.25">
      <c r="B134" s="5"/>
    </row>
    <row r="135" spans="2:2" ht="14.25" customHeight="1" x14ac:dyDescent="0.25">
      <c r="B135" s="5"/>
    </row>
    <row r="136" spans="2:2" ht="14.25" customHeight="1" x14ac:dyDescent="0.25">
      <c r="B136" s="5"/>
    </row>
    <row r="137" spans="2:2" ht="14.25" customHeight="1" x14ac:dyDescent="0.25">
      <c r="B137" s="5"/>
    </row>
    <row r="138" spans="2:2" ht="14.25" customHeight="1" x14ac:dyDescent="0.25">
      <c r="B138" s="5"/>
    </row>
    <row r="139" spans="2:2" ht="14.25" customHeight="1" x14ac:dyDescent="0.25">
      <c r="B139" s="5"/>
    </row>
    <row r="140" spans="2:2" ht="14.25" customHeight="1" x14ac:dyDescent="0.25">
      <c r="B140" s="5"/>
    </row>
    <row r="141" spans="2:2" ht="14.25" customHeight="1" x14ac:dyDescent="0.25">
      <c r="B141" s="5"/>
    </row>
    <row r="142" spans="2:2" ht="14.25" customHeight="1" x14ac:dyDescent="0.25">
      <c r="B142" s="5"/>
    </row>
    <row r="143" spans="2:2" ht="14.25" customHeight="1" x14ac:dyDescent="0.25">
      <c r="B143" s="5"/>
    </row>
    <row r="144" spans="2:2" ht="14.25" customHeight="1" x14ac:dyDescent="0.25">
      <c r="B144" s="5"/>
    </row>
    <row r="145" spans="2:2" ht="14.25" customHeight="1" x14ac:dyDescent="0.25">
      <c r="B145" s="5"/>
    </row>
    <row r="146" spans="2:2" ht="14.25" customHeight="1" x14ac:dyDescent="0.25">
      <c r="B146" s="5"/>
    </row>
    <row r="147" spans="2:2" ht="14.25" customHeight="1" x14ac:dyDescent="0.25">
      <c r="B147" s="5"/>
    </row>
    <row r="148" spans="2:2" ht="14.25" customHeight="1" x14ac:dyDescent="0.25">
      <c r="B148" s="5"/>
    </row>
    <row r="149" spans="2:2" ht="14.25" customHeight="1" x14ac:dyDescent="0.25">
      <c r="B149" s="5"/>
    </row>
    <row r="150" spans="2:2" ht="14.25" customHeight="1" x14ac:dyDescent="0.25">
      <c r="B150" s="5"/>
    </row>
    <row r="151" spans="2:2" ht="14.25" customHeight="1" x14ac:dyDescent="0.25">
      <c r="B151" s="5"/>
    </row>
    <row r="152" spans="2:2" ht="14.25" customHeight="1" x14ac:dyDescent="0.25">
      <c r="B152" s="5"/>
    </row>
    <row r="153" spans="2:2" ht="14.25" customHeight="1" x14ac:dyDescent="0.25">
      <c r="B153" s="5"/>
    </row>
    <row r="154" spans="2:2" ht="14.25" customHeight="1" x14ac:dyDescent="0.25">
      <c r="B154" s="5"/>
    </row>
    <row r="155" spans="2:2" ht="14.25" customHeight="1" x14ac:dyDescent="0.25">
      <c r="B155" s="5"/>
    </row>
    <row r="156" spans="2:2" ht="14.25" customHeight="1" x14ac:dyDescent="0.25">
      <c r="B156" s="5"/>
    </row>
    <row r="157" spans="2:2" ht="14.25" customHeight="1" x14ac:dyDescent="0.25">
      <c r="B157" s="5"/>
    </row>
    <row r="158" spans="2:2" ht="14.25" customHeight="1" x14ac:dyDescent="0.25">
      <c r="B158" s="5"/>
    </row>
    <row r="159" spans="2:2" ht="14.25" customHeight="1" x14ac:dyDescent="0.25">
      <c r="B159" s="5"/>
    </row>
    <row r="160" spans="2:2" ht="14.25" customHeight="1" x14ac:dyDescent="0.25">
      <c r="B160" s="5"/>
    </row>
    <row r="161" spans="2:2" ht="14.25" customHeight="1" x14ac:dyDescent="0.25">
      <c r="B161" s="5"/>
    </row>
    <row r="162" spans="2:2" ht="14.25" customHeight="1" x14ac:dyDescent="0.25">
      <c r="B162" s="5"/>
    </row>
    <row r="163" spans="2:2" ht="14.25" customHeight="1" x14ac:dyDescent="0.25">
      <c r="B163" s="5"/>
    </row>
    <row r="164" spans="2:2" ht="14.25" customHeight="1" x14ac:dyDescent="0.25">
      <c r="B164" s="5"/>
    </row>
    <row r="165" spans="2:2" ht="14.25" customHeight="1" x14ac:dyDescent="0.25">
      <c r="B165" s="5"/>
    </row>
    <row r="166" spans="2:2" ht="14.25" customHeight="1" x14ac:dyDescent="0.25">
      <c r="B166" s="5"/>
    </row>
    <row r="167" spans="2:2" ht="14.25" customHeight="1" x14ac:dyDescent="0.25">
      <c r="B167" s="5"/>
    </row>
    <row r="168" spans="2:2" ht="14.25" customHeight="1" x14ac:dyDescent="0.25">
      <c r="B168" s="5"/>
    </row>
    <row r="169" spans="2:2" ht="14.25" customHeight="1" x14ac:dyDescent="0.25">
      <c r="B169" s="5"/>
    </row>
    <row r="170" spans="2:2" ht="14.25" customHeight="1" x14ac:dyDescent="0.25">
      <c r="B170" s="5"/>
    </row>
    <row r="171" spans="2:2" ht="14.25" customHeight="1" x14ac:dyDescent="0.25">
      <c r="B171" s="5"/>
    </row>
    <row r="172" spans="2:2" ht="14.25" customHeight="1" x14ac:dyDescent="0.25">
      <c r="B172" s="5"/>
    </row>
    <row r="173" spans="2:2" ht="14.25" customHeight="1" x14ac:dyDescent="0.25">
      <c r="B173" s="5"/>
    </row>
    <row r="174" spans="2:2" ht="14.25" customHeight="1" x14ac:dyDescent="0.25">
      <c r="B174" s="5"/>
    </row>
    <row r="175" spans="2:2" ht="14.25" customHeight="1" x14ac:dyDescent="0.25">
      <c r="B175" s="5"/>
    </row>
    <row r="176" spans="2:2" ht="14.25" customHeight="1" x14ac:dyDescent="0.25">
      <c r="B176" s="5"/>
    </row>
    <row r="177" spans="2:2" ht="14.25" customHeight="1" x14ac:dyDescent="0.25">
      <c r="B177" s="5"/>
    </row>
    <row r="178" spans="2:2" ht="14.25" customHeight="1" x14ac:dyDescent="0.25">
      <c r="B178" s="5"/>
    </row>
    <row r="179" spans="2:2" ht="14.25" customHeight="1" x14ac:dyDescent="0.25">
      <c r="B179" s="5"/>
    </row>
    <row r="180" spans="2:2" ht="14.25" customHeight="1" x14ac:dyDescent="0.25">
      <c r="B180" s="5"/>
    </row>
    <row r="181" spans="2:2" ht="14.25" customHeight="1" x14ac:dyDescent="0.25">
      <c r="B181" s="5"/>
    </row>
    <row r="182" spans="2:2" ht="14.25" customHeight="1" x14ac:dyDescent="0.25">
      <c r="B182" s="5"/>
    </row>
    <row r="183" spans="2:2" ht="14.25" customHeight="1" x14ac:dyDescent="0.25">
      <c r="B183" s="5"/>
    </row>
    <row r="184" spans="2:2" ht="14.25" customHeight="1" x14ac:dyDescent="0.25">
      <c r="B184" s="5"/>
    </row>
    <row r="185" spans="2:2" ht="14.25" customHeight="1" x14ac:dyDescent="0.25">
      <c r="B185" s="5"/>
    </row>
    <row r="186" spans="2:2" ht="14.25" customHeight="1" x14ac:dyDescent="0.25">
      <c r="B186" s="5"/>
    </row>
    <row r="187" spans="2:2" ht="14.25" customHeight="1" x14ac:dyDescent="0.25">
      <c r="B187" s="5"/>
    </row>
    <row r="188" spans="2:2" ht="14.25" customHeight="1" x14ac:dyDescent="0.25">
      <c r="B188" s="5"/>
    </row>
    <row r="189" spans="2:2" ht="14.25" customHeight="1" x14ac:dyDescent="0.25">
      <c r="B189" s="5"/>
    </row>
    <row r="190" spans="2:2" ht="14.25" customHeight="1" x14ac:dyDescent="0.25">
      <c r="B190" s="5"/>
    </row>
    <row r="191" spans="2:2" ht="14.25" customHeight="1" x14ac:dyDescent="0.25">
      <c r="B191" s="5"/>
    </row>
    <row r="192" spans="2:2" ht="14.25" customHeight="1" x14ac:dyDescent="0.25">
      <c r="B192" s="5"/>
    </row>
    <row r="193" spans="2:2" ht="14.25" customHeight="1" x14ac:dyDescent="0.25">
      <c r="B193" s="5"/>
    </row>
    <row r="194" spans="2:2" ht="14.25" customHeight="1" x14ac:dyDescent="0.25">
      <c r="B194" s="5"/>
    </row>
    <row r="195" spans="2:2" ht="14.25" customHeight="1" x14ac:dyDescent="0.25">
      <c r="B195" s="5"/>
    </row>
    <row r="196" spans="2:2" ht="14.25" customHeight="1" x14ac:dyDescent="0.25">
      <c r="B196" s="5"/>
    </row>
    <row r="197" spans="2:2" ht="14.25" customHeight="1" x14ac:dyDescent="0.25">
      <c r="B197" s="5"/>
    </row>
    <row r="198" spans="2:2" ht="14.25" customHeight="1" x14ac:dyDescent="0.25">
      <c r="B198" s="5"/>
    </row>
    <row r="199" spans="2:2" ht="14.25" customHeight="1" x14ac:dyDescent="0.25">
      <c r="B199" s="5"/>
    </row>
    <row r="200" spans="2:2" ht="14.25" customHeight="1" x14ac:dyDescent="0.25">
      <c r="B200" s="5"/>
    </row>
    <row r="201" spans="2:2" ht="14.25" customHeight="1" x14ac:dyDescent="0.25">
      <c r="B201" s="5"/>
    </row>
    <row r="202" spans="2:2" ht="14.25" customHeight="1" x14ac:dyDescent="0.25">
      <c r="B202" s="5"/>
    </row>
    <row r="203" spans="2:2" ht="14.25" customHeight="1" x14ac:dyDescent="0.25">
      <c r="B203" s="5"/>
    </row>
    <row r="204" spans="2:2" ht="14.25" customHeight="1" x14ac:dyDescent="0.25">
      <c r="B204" s="5"/>
    </row>
    <row r="205" spans="2:2" ht="14.25" customHeight="1" x14ac:dyDescent="0.25">
      <c r="B205" s="5"/>
    </row>
    <row r="206" spans="2:2" ht="14.25" customHeight="1" x14ac:dyDescent="0.25">
      <c r="B206" s="5"/>
    </row>
    <row r="207" spans="2:2" ht="14.25" customHeight="1" x14ac:dyDescent="0.25">
      <c r="B207" s="5"/>
    </row>
    <row r="208" spans="2:2" ht="14.25" customHeight="1" x14ac:dyDescent="0.25">
      <c r="B208" s="5"/>
    </row>
    <row r="209" spans="2:2" ht="14.25" customHeight="1" x14ac:dyDescent="0.25">
      <c r="B209" s="5"/>
    </row>
    <row r="210" spans="2:2" ht="14.25" customHeight="1" x14ac:dyDescent="0.25">
      <c r="B210" s="5"/>
    </row>
    <row r="211" spans="2:2" ht="14.25" customHeight="1" x14ac:dyDescent="0.25">
      <c r="B211" s="5"/>
    </row>
    <row r="212" spans="2:2" ht="14.25" customHeight="1" x14ac:dyDescent="0.25">
      <c r="B212" s="5"/>
    </row>
    <row r="213" spans="2:2" ht="14.25" customHeight="1" x14ac:dyDescent="0.25">
      <c r="B213" s="5"/>
    </row>
    <row r="214" spans="2:2" ht="14.25" customHeight="1" x14ac:dyDescent="0.25">
      <c r="B214" s="5"/>
    </row>
    <row r="215" spans="2:2" ht="14.25" customHeight="1" x14ac:dyDescent="0.25">
      <c r="B215" s="5"/>
    </row>
    <row r="216" spans="2:2" ht="14.25" customHeight="1" x14ac:dyDescent="0.25">
      <c r="B216" s="5"/>
    </row>
    <row r="217" spans="2:2" ht="14.25" customHeight="1" x14ac:dyDescent="0.25">
      <c r="B217" s="5"/>
    </row>
    <row r="218" spans="2:2" ht="14.25" customHeight="1" x14ac:dyDescent="0.25">
      <c r="B218" s="5"/>
    </row>
    <row r="219" spans="2:2" ht="14.25" customHeight="1" x14ac:dyDescent="0.25">
      <c r="B219" s="5"/>
    </row>
    <row r="220" spans="2:2" ht="14.25" customHeight="1" x14ac:dyDescent="0.25">
      <c r="B220" s="5"/>
    </row>
    <row r="221" spans="2:2" ht="14.25" customHeight="1" x14ac:dyDescent="0.25">
      <c r="B221" s="5"/>
    </row>
    <row r="222" spans="2:2" ht="14.25" customHeight="1" x14ac:dyDescent="0.25">
      <c r="B222" s="5"/>
    </row>
    <row r="223" spans="2:2" ht="14.25" customHeight="1" x14ac:dyDescent="0.25">
      <c r="B223" s="5"/>
    </row>
    <row r="224" spans="2:2" ht="14.25" customHeight="1" x14ac:dyDescent="0.25">
      <c r="B224" s="5"/>
    </row>
    <row r="225" spans="2:2" ht="14.25" customHeight="1" x14ac:dyDescent="0.25">
      <c r="B225" s="5"/>
    </row>
    <row r="226" spans="2:2" ht="14.25" customHeight="1" x14ac:dyDescent="0.25">
      <c r="B226" s="5"/>
    </row>
    <row r="227" spans="2:2" ht="14.25" customHeight="1" x14ac:dyDescent="0.25">
      <c r="B227" s="5"/>
    </row>
    <row r="228" spans="2:2" ht="14.25" customHeight="1" x14ac:dyDescent="0.25">
      <c r="B228" s="5"/>
    </row>
    <row r="229" spans="2:2" ht="14.25" customHeight="1" x14ac:dyDescent="0.25">
      <c r="B229" s="5"/>
    </row>
    <row r="230" spans="2:2" ht="14.25" customHeight="1" x14ac:dyDescent="0.25">
      <c r="B230" s="5"/>
    </row>
    <row r="231" spans="2:2" ht="14.25" customHeight="1" x14ac:dyDescent="0.25">
      <c r="B231" s="5"/>
    </row>
    <row r="232" spans="2:2" ht="14.25" customHeight="1" x14ac:dyDescent="0.25">
      <c r="B232" s="5"/>
    </row>
    <row r="233" spans="2:2" ht="14.25" customHeight="1" x14ac:dyDescent="0.25">
      <c r="B233" s="5"/>
    </row>
    <row r="234" spans="2:2" ht="14.25" customHeight="1" x14ac:dyDescent="0.25">
      <c r="B234" s="5"/>
    </row>
    <row r="235" spans="2:2" ht="14.25" customHeight="1" x14ac:dyDescent="0.25">
      <c r="B235" s="5"/>
    </row>
    <row r="236" spans="2:2" ht="14.25" customHeight="1" x14ac:dyDescent="0.25">
      <c r="B236" s="5"/>
    </row>
    <row r="237" spans="2:2" ht="14.25" customHeight="1" x14ac:dyDescent="0.25">
      <c r="B237" s="5"/>
    </row>
    <row r="238" spans="2:2" ht="14.25" customHeight="1" x14ac:dyDescent="0.25">
      <c r="B238" s="5"/>
    </row>
    <row r="239" spans="2:2" ht="14.25" customHeight="1" x14ac:dyDescent="0.25">
      <c r="B239" s="5"/>
    </row>
    <row r="240" spans="2:2" ht="14.25" customHeight="1" x14ac:dyDescent="0.25">
      <c r="B240" s="5"/>
    </row>
    <row r="241" spans="2:2" ht="14.25" customHeight="1" x14ac:dyDescent="0.25">
      <c r="B241" s="5"/>
    </row>
    <row r="242" spans="2:2" ht="14.25" customHeight="1" x14ac:dyDescent="0.25">
      <c r="B242" s="5"/>
    </row>
    <row r="243" spans="2:2" ht="14.25" customHeight="1" x14ac:dyDescent="0.25">
      <c r="B243" s="5"/>
    </row>
    <row r="244" spans="2:2" ht="14.25" customHeight="1" x14ac:dyDescent="0.25">
      <c r="B244" s="5"/>
    </row>
    <row r="245" spans="2:2" ht="14.25" customHeight="1" x14ac:dyDescent="0.25">
      <c r="B245" s="5"/>
    </row>
    <row r="246" spans="2:2" ht="14.25" customHeight="1" x14ac:dyDescent="0.25">
      <c r="B246" s="5"/>
    </row>
    <row r="247" spans="2:2" ht="14.25" customHeight="1" x14ac:dyDescent="0.25">
      <c r="B247" s="5"/>
    </row>
    <row r="248" spans="2:2" ht="14.25" customHeight="1" x14ac:dyDescent="0.25">
      <c r="B248" s="5"/>
    </row>
    <row r="249" spans="2:2" ht="14.25" customHeight="1" x14ac:dyDescent="0.25">
      <c r="B249" s="5"/>
    </row>
    <row r="250" spans="2:2" ht="14.25" customHeight="1" x14ac:dyDescent="0.25">
      <c r="B250" s="5"/>
    </row>
    <row r="251" spans="2:2" ht="14.25" customHeight="1" x14ac:dyDescent="0.25">
      <c r="B251" s="5"/>
    </row>
    <row r="252" spans="2:2" ht="14.25" customHeight="1" x14ac:dyDescent="0.25">
      <c r="B252" s="5"/>
    </row>
    <row r="253" spans="2:2" ht="14.25" customHeight="1" x14ac:dyDescent="0.25">
      <c r="B253" s="5"/>
    </row>
    <row r="254" spans="2:2" ht="14.25" customHeight="1" x14ac:dyDescent="0.25">
      <c r="B254" s="5"/>
    </row>
    <row r="255" spans="2:2" ht="14.25" customHeight="1" x14ac:dyDescent="0.25">
      <c r="B255" s="5"/>
    </row>
    <row r="256" spans="2:2" ht="14.25" customHeight="1" x14ac:dyDescent="0.25">
      <c r="B256" s="5"/>
    </row>
    <row r="257" spans="2:2" ht="14.25" customHeight="1" x14ac:dyDescent="0.25">
      <c r="B257" s="5"/>
    </row>
    <row r="258" spans="2:2" ht="14.25" customHeight="1" x14ac:dyDescent="0.25">
      <c r="B258" s="5"/>
    </row>
    <row r="259" spans="2:2" ht="14.25" customHeight="1" x14ac:dyDescent="0.25">
      <c r="B259" s="5"/>
    </row>
    <row r="260" spans="2:2" ht="14.25" customHeight="1" x14ac:dyDescent="0.25">
      <c r="B260" s="5"/>
    </row>
    <row r="261" spans="2:2" ht="14.25" customHeight="1" x14ac:dyDescent="0.25">
      <c r="B261" s="5"/>
    </row>
    <row r="262" spans="2:2" ht="14.25" customHeight="1" x14ac:dyDescent="0.25">
      <c r="B262" s="5"/>
    </row>
    <row r="263" spans="2:2" ht="14.25" customHeight="1" x14ac:dyDescent="0.25">
      <c r="B263" s="5"/>
    </row>
    <row r="264" spans="2:2" ht="14.25" customHeight="1" x14ac:dyDescent="0.25">
      <c r="B264" s="5"/>
    </row>
    <row r="265" spans="2:2" ht="14.25" customHeight="1" x14ac:dyDescent="0.25">
      <c r="B265" s="5"/>
    </row>
    <row r="266" spans="2:2" ht="14.25" customHeight="1" x14ac:dyDescent="0.25">
      <c r="B266" s="5"/>
    </row>
    <row r="267" spans="2:2" ht="14.25" customHeight="1" x14ac:dyDescent="0.25">
      <c r="B267" s="5"/>
    </row>
    <row r="268" spans="2:2" ht="14.25" customHeight="1" x14ac:dyDescent="0.25">
      <c r="B268" s="5"/>
    </row>
    <row r="269" spans="2:2" ht="14.25" customHeight="1" x14ac:dyDescent="0.25">
      <c r="B269" s="5"/>
    </row>
    <row r="270" spans="2:2" ht="14.25" customHeight="1" x14ac:dyDescent="0.25">
      <c r="B270" s="5"/>
    </row>
    <row r="271" spans="2:2" ht="14.25" customHeight="1" x14ac:dyDescent="0.25">
      <c r="B271" s="5"/>
    </row>
    <row r="272" spans="2:2" ht="14.25" customHeight="1" x14ac:dyDescent="0.25">
      <c r="B272" s="5"/>
    </row>
    <row r="273" spans="2:2" ht="14.25" customHeight="1" x14ac:dyDescent="0.25">
      <c r="B273" s="5"/>
    </row>
    <row r="274" spans="2:2" ht="14.25" customHeight="1" x14ac:dyDescent="0.25">
      <c r="B274" s="5"/>
    </row>
    <row r="275" spans="2:2" ht="14.25" customHeight="1" x14ac:dyDescent="0.25">
      <c r="B275" s="5"/>
    </row>
    <row r="276" spans="2:2" ht="14.25" customHeight="1" x14ac:dyDescent="0.25">
      <c r="B276" s="5"/>
    </row>
    <row r="277" spans="2:2" ht="14.25" customHeight="1" x14ac:dyDescent="0.25">
      <c r="B277" s="5"/>
    </row>
    <row r="278" spans="2:2" ht="14.25" customHeight="1" x14ac:dyDescent="0.25">
      <c r="B278" s="5"/>
    </row>
    <row r="279" spans="2:2" ht="14.25" customHeight="1" x14ac:dyDescent="0.25">
      <c r="B279" s="5"/>
    </row>
    <row r="280" spans="2:2" ht="14.25" customHeight="1" x14ac:dyDescent="0.25">
      <c r="B280" s="5"/>
    </row>
    <row r="281" spans="2:2" ht="14.25" customHeight="1" x14ac:dyDescent="0.25">
      <c r="B281" s="5"/>
    </row>
    <row r="282" spans="2:2" ht="14.25" customHeight="1" x14ac:dyDescent="0.25">
      <c r="B282" s="5"/>
    </row>
    <row r="283" spans="2:2" ht="14.25" customHeight="1" x14ac:dyDescent="0.25">
      <c r="B283" s="5"/>
    </row>
    <row r="284" spans="2:2" ht="14.25" customHeight="1" x14ac:dyDescent="0.25">
      <c r="B284" s="5"/>
    </row>
    <row r="285" spans="2:2" ht="14.25" customHeight="1" x14ac:dyDescent="0.25">
      <c r="B285" s="5"/>
    </row>
    <row r="286" spans="2:2" ht="14.25" customHeight="1" x14ac:dyDescent="0.25">
      <c r="B286" s="5"/>
    </row>
    <row r="287" spans="2:2" ht="14.25" customHeight="1" x14ac:dyDescent="0.25">
      <c r="B287" s="5"/>
    </row>
    <row r="288" spans="2:2" ht="14.25" customHeight="1" x14ac:dyDescent="0.25">
      <c r="B288" s="5"/>
    </row>
    <row r="289" spans="2:2" ht="14.25" customHeight="1" x14ac:dyDescent="0.25">
      <c r="B289" s="5"/>
    </row>
    <row r="290" spans="2:2" ht="14.25" customHeight="1" x14ac:dyDescent="0.25">
      <c r="B290" s="5"/>
    </row>
    <row r="291" spans="2:2" ht="14.25" customHeight="1" x14ac:dyDescent="0.25">
      <c r="B291" s="5"/>
    </row>
    <row r="292" spans="2:2" ht="14.25" customHeight="1" x14ac:dyDescent="0.25">
      <c r="B292" s="5"/>
    </row>
    <row r="293" spans="2:2" ht="14.25" customHeight="1" x14ac:dyDescent="0.25">
      <c r="B293" s="5"/>
    </row>
    <row r="294" spans="2:2" ht="14.25" customHeight="1" x14ac:dyDescent="0.25">
      <c r="B294" s="5"/>
    </row>
    <row r="295" spans="2:2" ht="14.25" customHeight="1" x14ac:dyDescent="0.25">
      <c r="B295" s="5"/>
    </row>
    <row r="296" spans="2:2" ht="14.25" customHeight="1" x14ac:dyDescent="0.25">
      <c r="B296" s="5"/>
    </row>
    <row r="297" spans="2:2" ht="14.25" customHeight="1" x14ac:dyDescent="0.25">
      <c r="B297" s="5"/>
    </row>
    <row r="298" spans="2:2" ht="14.25" customHeight="1" x14ac:dyDescent="0.25">
      <c r="B298" s="5"/>
    </row>
    <row r="299" spans="2:2" ht="14.25" customHeight="1" x14ac:dyDescent="0.25">
      <c r="B299" s="5"/>
    </row>
    <row r="300" spans="2:2" ht="14.25" customHeight="1" x14ac:dyDescent="0.25">
      <c r="B300" s="5"/>
    </row>
    <row r="301" spans="2:2" ht="14.25" customHeight="1" x14ac:dyDescent="0.25">
      <c r="B301" s="5"/>
    </row>
    <row r="302" spans="2:2" ht="14.25" customHeight="1" x14ac:dyDescent="0.25">
      <c r="B302" s="5"/>
    </row>
    <row r="303" spans="2:2" ht="14.25" customHeight="1" x14ac:dyDescent="0.25">
      <c r="B303" s="5"/>
    </row>
    <row r="304" spans="2:2" ht="14.25" customHeight="1" x14ac:dyDescent="0.25">
      <c r="B304" s="5"/>
    </row>
    <row r="305" spans="2:2" ht="14.25" customHeight="1" x14ac:dyDescent="0.25">
      <c r="B305" s="5"/>
    </row>
    <row r="306" spans="2:2" ht="14.25" customHeight="1" x14ac:dyDescent="0.25">
      <c r="B306" s="5"/>
    </row>
    <row r="307" spans="2:2" ht="14.25" customHeight="1" x14ac:dyDescent="0.25">
      <c r="B307" s="5"/>
    </row>
    <row r="308" spans="2:2" ht="14.25" customHeight="1" x14ac:dyDescent="0.25">
      <c r="B308" s="5"/>
    </row>
    <row r="309" spans="2:2" ht="14.25" customHeight="1" x14ac:dyDescent="0.25">
      <c r="B309" s="5"/>
    </row>
    <row r="310" spans="2:2" ht="14.25" customHeight="1" x14ac:dyDescent="0.25">
      <c r="B310" s="5"/>
    </row>
    <row r="311" spans="2:2" ht="14.25" customHeight="1" x14ac:dyDescent="0.25">
      <c r="B311" s="5"/>
    </row>
    <row r="312" spans="2:2" ht="14.25" customHeight="1" x14ac:dyDescent="0.25">
      <c r="B312" s="5"/>
    </row>
    <row r="313" spans="2:2" ht="14.25" customHeight="1" x14ac:dyDescent="0.25">
      <c r="B313" s="5"/>
    </row>
    <row r="314" spans="2:2" ht="14.25" customHeight="1" x14ac:dyDescent="0.25">
      <c r="B314" s="5"/>
    </row>
    <row r="315" spans="2:2" ht="14.25" customHeight="1" x14ac:dyDescent="0.25">
      <c r="B315" s="5"/>
    </row>
    <row r="316" spans="2:2" ht="14.25" customHeight="1" x14ac:dyDescent="0.25">
      <c r="B316" s="5"/>
    </row>
    <row r="317" spans="2:2" ht="14.25" customHeight="1" x14ac:dyDescent="0.25">
      <c r="B317" s="5"/>
    </row>
    <row r="318" spans="2:2" ht="14.25" customHeight="1" x14ac:dyDescent="0.25">
      <c r="B318" s="5"/>
    </row>
    <row r="319" spans="2:2" ht="14.25" customHeight="1" x14ac:dyDescent="0.25">
      <c r="B319" s="5"/>
    </row>
    <row r="320" spans="2:2" ht="14.25" customHeight="1" x14ac:dyDescent="0.25">
      <c r="B320" s="5"/>
    </row>
    <row r="321" spans="2:2" ht="14.25" customHeight="1" x14ac:dyDescent="0.25">
      <c r="B321" s="5"/>
    </row>
    <row r="322" spans="2:2" ht="14.25" customHeight="1" x14ac:dyDescent="0.25">
      <c r="B322" s="5"/>
    </row>
    <row r="323" spans="2:2" ht="14.25" customHeight="1" x14ac:dyDescent="0.25">
      <c r="B323" s="5"/>
    </row>
    <row r="324" spans="2:2" ht="14.25" customHeight="1" x14ac:dyDescent="0.25">
      <c r="B324" s="5"/>
    </row>
    <row r="325" spans="2:2" ht="14.25" customHeight="1" x14ac:dyDescent="0.25">
      <c r="B325" s="5"/>
    </row>
    <row r="326" spans="2:2" ht="14.25" customHeight="1" x14ac:dyDescent="0.25">
      <c r="B326" s="5"/>
    </row>
    <row r="327" spans="2:2" ht="14.25" customHeight="1" x14ac:dyDescent="0.25">
      <c r="B327" s="5"/>
    </row>
    <row r="328" spans="2:2" ht="14.25" customHeight="1" x14ac:dyDescent="0.25">
      <c r="B328" s="5"/>
    </row>
    <row r="329" spans="2:2" ht="14.25" customHeight="1" x14ac:dyDescent="0.25">
      <c r="B329" s="5"/>
    </row>
    <row r="330" spans="2:2" ht="14.25" customHeight="1" x14ac:dyDescent="0.25">
      <c r="B330" s="5"/>
    </row>
    <row r="331" spans="2:2" ht="14.25" customHeight="1" x14ac:dyDescent="0.25">
      <c r="B331" s="5"/>
    </row>
    <row r="332" spans="2:2" ht="14.25" customHeight="1" x14ac:dyDescent="0.25">
      <c r="B332" s="5"/>
    </row>
    <row r="333" spans="2:2" ht="14.25" customHeight="1" x14ac:dyDescent="0.25">
      <c r="B333" s="5"/>
    </row>
    <row r="334" spans="2:2" ht="14.25" customHeight="1" x14ac:dyDescent="0.25">
      <c r="B334" s="5"/>
    </row>
    <row r="335" spans="2:2" ht="14.25" customHeight="1" x14ac:dyDescent="0.25">
      <c r="B335" s="5"/>
    </row>
    <row r="336" spans="2:2" ht="14.25" customHeight="1" x14ac:dyDescent="0.25">
      <c r="B336" s="5"/>
    </row>
    <row r="337" spans="2:2" ht="14.25" customHeight="1" x14ac:dyDescent="0.25">
      <c r="B337" s="5"/>
    </row>
    <row r="338" spans="2:2" ht="14.25" customHeight="1" x14ac:dyDescent="0.25">
      <c r="B338" s="5"/>
    </row>
    <row r="339" spans="2:2" ht="14.25" customHeight="1" x14ac:dyDescent="0.25">
      <c r="B339" s="5"/>
    </row>
    <row r="340" spans="2:2" ht="14.25" customHeight="1" x14ac:dyDescent="0.25">
      <c r="B340" s="5"/>
    </row>
    <row r="341" spans="2:2" ht="14.25" customHeight="1" x14ac:dyDescent="0.25">
      <c r="B341" s="5"/>
    </row>
    <row r="342" spans="2:2" ht="14.25" customHeight="1" x14ac:dyDescent="0.25">
      <c r="B342" s="5"/>
    </row>
    <row r="343" spans="2:2" ht="14.25" customHeight="1" x14ac:dyDescent="0.25">
      <c r="B343" s="5"/>
    </row>
    <row r="344" spans="2:2" ht="14.25" customHeight="1" x14ac:dyDescent="0.25">
      <c r="B344" s="5"/>
    </row>
    <row r="345" spans="2:2" ht="14.25" customHeight="1" x14ac:dyDescent="0.25">
      <c r="B345" s="5"/>
    </row>
    <row r="346" spans="2:2" ht="14.25" customHeight="1" x14ac:dyDescent="0.25">
      <c r="B346" s="5"/>
    </row>
    <row r="347" spans="2:2" ht="14.25" customHeight="1" x14ac:dyDescent="0.25">
      <c r="B347" s="5"/>
    </row>
    <row r="348" spans="2:2" ht="14.25" customHeight="1" x14ac:dyDescent="0.25">
      <c r="B348" s="5"/>
    </row>
    <row r="349" spans="2:2" ht="14.25" customHeight="1" x14ac:dyDescent="0.25">
      <c r="B349" s="5"/>
    </row>
    <row r="350" spans="2:2" ht="14.25" customHeight="1" x14ac:dyDescent="0.25">
      <c r="B350" s="5"/>
    </row>
    <row r="351" spans="2:2" ht="14.25" customHeight="1" x14ac:dyDescent="0.25">
      <c r="B351" s="5"/>
    </row>
    <row r="352" spans="2:2" ht="14.25" customHeight="1" x14ac:dyDescent="0.25">
      <c r="B352" s="5"/>
    </row>
    <row r="353" spans="2:2" ht="14.25" customHeight="1" x14ac:dyDescent="0.25">
      <c r="B353" s="5"/>
    </row>
    <row r="354" spans="2:2" ht="14.25" customHeight="1" x14ac:dyDescent="0.25">
      <c r="B354" s="5"/>
    </row>
    <row r="355" spans="2:2" ht="14.25" customHeight="1" x14ac:dyDescent="0.25">
      <c r="B355" s="5"/>
    </row>
    <row r="356" spans="2:2" ht="14.25" customHeight="1" x14ac:dyDescent="0.25">
      <c r="B356" s="5"/>
    </row>
    <row r="357" spans="2:2" ht="14.25" customHeight="1" x14ac:dyDescent="0.25">
      <c r="B357" s="5"/>
    </row>
    <row r="358" spans="2:2" ht="14.25" customHeight="1" x14ac:dyDescent="0.25">
      <c r="B358" s="5"/>
    </row>
    <row r="359" spans="2:2" ht="14.25" customHeight="1" x14ac:dyDescent="0.25">
      <c r="B359" s="5"/>
    </row>
    <row r="360" spans="2:2" ht="14.25" customHeight="1" x14ac:dyDescent="0.25">
      <c r="B360" s="5"/>
    </row>
    <row r="361" spans="2:2" ht="14.25" customHeight="1" x14ac:dyDescent="0.25">
      <c r="B361" s="5"/>
    </row>
    <row r="362" spans="2:2" ht="14.25" customHeight="1" x14ac:dyDescent="0.25">
      <c r="B362" s="5"/>
    </row>
    <row r="363" spans="2:2" ht="14.25" customHeight="1" x14ac:dyDescent="0.25">
      <c r="B363" s="5"/>
    </row>
    <row r="364" spans="2:2" ht="14.25" customHeight="1" x14ac:dyDescent="0.25">
      <c r="B364" s="5"/>
    </row>
    <row r="365" spans="2:2" ht="14.25" customHeight="1" x14ac:dyDescent="0.25">
      <c r="B365" s="5"/>
    </row>
    <row r="366" spans="2:2" ht="14.25" customHeight="1" x14ac:dyDescent="0.25">
      <c r="B366" s="5"/>
    </row>
    <row r="367" spans="2:2" ht="14.25" customHeight="1" x14ac:dyDescent="0.25">
      <c r="B367" s="5"/>
    </row>
    <row r="368" spans="2:2" ht="14.25" customHeight="1" x14ac:dyDescent="0.25">
      <c r="B368" s="5"/>
    </row>
    <row r="369" spans="2:2" ht="14.25" customHeight="1" x14ac:dyDescent="0.25">
      <c r="B369" s="5"/>
    </row>
    <row r="370" spans="2:2" ht="14.25" customHeight="1" x14ac:dyDescent="0.25">
      <c r="B370" s="5"/>
    </row>
    <row r="371" spans="2:2" ht="14.25" customHeight="1" x14ac:dyDescent="0.25">
      <c r="B371" s="5"/>
    </row>
    <row r="372" spans="2:2" ht="14.25" customHeight="1" x14ac:dyDescent="0.25">
      <c r="B372" s="5"/>
    </row>
    <row r="373" spans="2:2" ht="14.25" customHeight="1" x14ac:dyDescent="0.25">
      <c r="B373" s="5"/>
    </row>
    <row r="374" spans="2:2" ht="14.25" customHeight="1" x14ac:dyDescent="0.25">
      <c r="B374" s="5"/>
    </row>
    <row r="375" spans="2:2" ht="14.25" customHeight="1" x14ac:dyDescent="0.25">
      <c r="B375" s="5"/>
    </row>
    <row r="376" spans="2:2" ht="14.25" customHeight="1" x14ac:dyDescent="0.25">
      <c r="B376" s="5"/>
    </row>
    <row r="377" spans="2:2" ht="14.25" customHeight="1" x14ac:dyDescent="0.25">
      <c r="B377" s="5"/>
    </row>
    <row r="378" spans="2:2" ht="14.25" customHeight="1" x14ac:dyDescent="0.25">
      <c r="B378" s="5"/>
    </row>
    <row r="379" spans="2:2" ht="14.25" customHeight="1" x14ac:dyDescent="0.25">
      <c r="B379" s="5"/>
    </row>
    <row r="380" spans="2:2" ht="14.25" customHeight="1" x14ac:dyDescent="0.25">
      <c r="B380" s="5"/>
    </row>
    <row r="381" spans="2:2" ht="14.25" customHeight="1" x14ac:dyDescent="0.25">
      <c r="B381" s="5"/>
    </row>
    <row r="382" spans="2:2" ht="14.25" customHeight="1" x14ac:dyDescent="0.25">
      <c r="B382" s="5"/>
    </row>
    <row r="383" spans="2:2" ht="14.25" customHeight="1" x14ac:dyDescent="0.25">
      <c r="B383" s="5"/>
    </row>
    <row r="384" spans="2:2" ht="14.25" customHeight="1" x14ac:dyDescent="0.25">
      <c r="B384" s="5"/>
    </row>
    <row r="385" spans="2:2" ht="14.25" customHeight="1" x14ac:dyDescent="0.25">
      <c r="B385" s="5"/>
    </row>
    <row r="386" spans="2:2" ht="14.25" customHeight="1" x14ac:dyDescent="0.25">
      <c r="B386" s="5"/>
    </row>
    <row r="387" spans="2:2" ht="14.25" customHeight="1" x14ac:dyDescent="0.25">
      <c r="B387" s="5"/>
    </row>
    <row r="388" spans="2:2" ht="14.25" customHeight="1" x14ac:dyDescent="0.25">
      <c r="B388" s="5"/>
    </row>
    <row r="389" spans="2:2" ht="14.25" customHeight="1" x14ac:dyDescent="0.25">
      <c r="B389" s="5"/>
    </row>
    <row r="390" spans="2:2" ht="14.25" customHeight="1" x14ac:dyDescent="0.25">
      <c r="B390" s="5"/>
    </row>
    <row r="391" spans="2:2" ht="14.25" customHeight="1" x14ac:dyDescent="0.25">
      <c r="B391" s="5"/>
    </row>
    <row r="392" spans="2:2" ht="14.25" customHeight="1" x14ac:dyDescent="0.25">
      <c r="B392" s="5"/>
    </row>
    <row r="393" spans="2:2" ht="14.25" customHeight="1" x14ac:dyDescent="0.25">
      <c r="B393" s="5"/>
    </row>
    <row r="394" spans="2:2" ht="14.25" customHeight="1" x14ac:dyDescent="0.25">
      <c r="B394" s="5"/>
    </row>
    <row r="395" spans="2:2" ht="14.25" customHeight="1" x14ac:dyDescent="0.25">
      <c r="B395" s="5"/>
    </row>
    <row r="396" spans="2:2" ht="14.25" customHeight="1" x14ac:dyDescent="0.25">
      <c r="B396" s="5"/>
    </row>
    <row r="397" spans="2:2" ht="14.25" customHeight="1" x14ac:dyDescent="0.25">
      <c r="B397" s="5"/>
    </row>
    <row r="398" spans="2:2" ht="14.25" customHeight="1" x14ac:dyDescent="0.25">
      <c r="B398" s="5"/>
    </row>
    <row r="399" spans="2:2" ht="14.25" customHeight="1" x14ac:dyDescent="0.25">
      <c r="B399" s="5"/>
    </row>
    <row r="400" spans="2:2" ht="14.25" customHeight="1" x14ac:dyDescent="0.25">
      <c r="B400" s="5"/>
    </row>
    <row r="401" spans="2:2" ht="14.25" customHeight="1" x14ac:dyDescent="0.25">
      <c r="B401" s="5"/>
    </row>
    <row r="402" spans="2:2" ht="14.25" customHeight="1" x14ac:dyDescent="0.25">
      <c r="B402" s="5"/>
    </row>
    <row r="403" spans="2:2" ht="14.25" customHeight="1" x14ac:dyDescent="0.25">
      <c r="B403" s="5"/>
    </row>
    <row r="404" spans="2:2" ht="14.25" customHeight="1" x14ac:dyDescent="0.25">
      <c r="B404" s="5"/>
    </row>
    <row r="405" spans="2:2" ht="14.25" customHeight="1" x14ac:dyDescent="0.25">
      <c r="B405" s="5"/>
    </row>
    <row r="406" spans="2:2" ht="14.25" customHeight="1" x14ac:dyDescent="0.25">
      <c r="B406" s="5"/>
    </row>
    <row r="407" spans="2:2" ht="14.25" customHeight="1" x14ac:dyDescent="0.25">
      <c r="B407" s="5"/>
    </row>
    <row r="408" spans="2:2" ht="14.25" customHeight="1" x14ac:dyDescent="0.25">
      <c r="B408" s="5"/>
    </row>
    <row r="409" spans="2:2" ht="14.25" customHeight="1" x14ac:dyDescent="0.25">
      <c r="B409" s="5"/>
    </row>
    <row r="410" spans="2:2" ht="14.25" customHeight="1" x14ac:dyDescent="0.25">
      <c r="B410" s="5"/>
    </row>
    <row r="411" spans="2:2" ht="14.25" customHeight="1" x14ac:dyDescent="0.25">
      <c r="B411" s="5"/>
    </row>
    <row r="412" spans="2:2" ht="14.25" customHeight="1" x14ac:dyDescent="0.25">
      <c r="B412" s="5"/>
    </row>
    <row r="413" spans="2:2" ht="14.25" customHeight="1" x14ac:dyDescent="0.25">
      <c r="B413" s="5"/>
    </row>
    <row r="414" spans="2:2" ht="14.25" customHeight="1" x14ac:dyDescent="0.25">
      <c r="B414" s="5"/>
    </row>
    <row r="415" spans="2:2" ht="14.25" customHeight="1" x14ac:dyDescent="0.25">
      <c r="B415" s="5"/>
    </row>
    <row r="416" spans="2:2" ht="14.25" customHeight="1" x14ac:dyDescent="0.25">
      <c r="B416" s="5"/>
    </row>
    <row r="417" spans="2:2" ht="14.25" customHeight="1" x14ac:dyDescent="0.25">
      <c r="B417" s="5"/>
    </row>
    <row r="418" spans="2:2" ht="14.25" customHeight="1" x14ac:dyDescent="0.25">
      <c r="B418" s="5"/>
    </row>
    <row r="419" spans="2:2" ht="14.25" customHeight="1" x14ac:dyDescent="0.25">
      <c r="B419" s="5"/>
    </row>
    <row r="420" spans="2:2" ht="14.25" customHeight="1" x14ac:dyDescent="0.25">
      <c r="B420" s="5"/>
    </row>
    <row r="421" spans="2:2" ht="14.25" customHeight="1" x14ac:dyDescent="0.25">
      <c r="B421" s="5"/>
    </row>
    <row r="422" spans="2:2" ht="14.25" customHeight="1" x14ac:dyDescent="0.25">
      <c r="B422" s="5"/>
    </row>
    <row r="423" spans="2:2" ht="14.25" customHeight="1" x14ac:dyDescent="0.25">
      <c r="B423" s="5"/>
    </row>
    <row r="424" spans="2:2" ht="14.25" customHeight="1" x14ac:dyDescent="0.25">
      <c r="B424" s="5"/>
    </row>
    <row r="425" spans="2:2" ht="14.25" customHeight="1" x14ac:dyDescent="0.25">
      <c r="B425" s="5"/>
    </row>
    <row r="426" spans="2:2" ht="14.25" customHeight="1" x14ac:dyDescent="0.25">
      <c r="B426" s="5"/>
    </row>
    <row r="427" spans="2:2" ht="14.25" customHeight="1" x14ac:dyDescent="0.25">
      <c r="B427" s="5"/>
    </row>
    <row r="428" spans="2:2" ht="14.25" customHeight="1" x14ac:dyDescent="0.25">
      <c r="B428" s="5"/>
    </row>
    <row r="429" spans="2:2" ht="14.25" customHeight="1" x14ac:dyDescent="0.25">
      <c r="B429" s="5"/>
    </row>
    <row r="430" spans="2:2" ht="14.25" customHeight="1" x14ac:dyDescent="0.25">
      <c r="B430" s="5"/>
    </row>
    <row r="431" spans="2:2" ht="14.25" customHeight="1" x14ac:dyDescent="0.25">
      <c r="B431" s="5"/>
    </row>
    <row r="432" spans="2:2" ht="14.25" customHeight="1" x14ac:dyDescent="0.25">
      <c r="B432" s="5"/>
    </row>
    <row r="433" spans="2:2" ht="14.25" customHeight="1" x14ac:dyDescent="0.25">
      <c r="B433" s="5"/>
    </row>
    <row r="434" spans="2:2" ht="14.25" customHeight="1" x14ac:dyDescent="0.25">
      <c r="B434" s="5"/>
    </row>
    <row r="435" spans="2:2" ht="14.25" customHeight="1" x14ac:dyDescent="0.25">
      <c r="B435" s="5"/>
    </row>
    <row r="436" spans="2:2" ht="14.25" customHeight="1" x14ac:dyDescent="0.25">
      <c r="B436" s="5"/>
    </row>
    <row r="437" spans="2:2" ht="14.25" customHeight="1" x14ac:dyDescent="0.25">
      <c r="B437" s="5"/>
    </row>
    <row r="438" spans="2:2" ht="14.25" customHeight="1" x14ac:dyDescent="0.25">
      <c r="B438" s="5"/>
    </row>
    <row r="439" spans="2:2" ht="14.25" customHeight="1" x14ac:dyDescent="0.25">
      <c r="B439" s="5"/>
    </row>
    <row r="440" spans="2:2" ht="14.25" customHeight="1" x14ac:dyDescent="0.25">
      <c r="B440" s="5"/>
    </row>
    <row r="441" spans="2:2" ht="14.25" customHeight="1" x14ac:dyDescent="0.25">
      <c r="B441" s="5"/>
    </row>
    <row r="442" spans="2:2" ht="14.25" customHeight="1" x14ac:dyDescent="0.25">
      <c r="B442" s="5"/>
    </row>
    <row r="443" spans="2:2" ht="14.25" customHeight="1" x14ac:dyDescent="0.25">
      <c r="B443" s="5"/>
    </row>
    <row r="444" spans="2:2" ht="14.25" customHeight="1" x14ac:dyDescent="0.25">
      <c r="B444" s="5"/>
    </row>
    <row r="445" spans="2:2" ht="14.25" customHeight="1" x14ac:dyDescent="0.25">
      <c r="B445" s="5"/>
    </row>
    <row r="446" spans="2:2" ht="14.25" customHeight="1" x14ac:dyDescent="0.25">
      <c r="B446" s="5"/>
    </row>
    <row r="447" spans="2:2" ht="14.25" customHeight="1" x14ac:dyDescent="0.25">
      <c r="B447" s="5"/>
    </row>
    <row r="448" spans="2:2" ht="14.25" customHeight="1" x14ac:dyDescent="0.25">
      <c r="B448" s="5"/>
    </row>
    <row r="449" spans="2:2" ht="14.25" customHeight="1" x14ac:dyDescent="0.25">
      <c r="B449" s="5"/>
    </row>
    <row r="450" spans="2:2" ht="14.25" customHeight="1" x14ac:dyDescent="0.25">
      <c r="B450" s="5"/>
    </row>
    <row r="451" spans="2:2" ht="14.25" customHeight="1" x14ac:dyDescent="0.25">
      <c r="B451" s="5"/>
    </row>
    <row r="452" spans="2:2" ht="14.25" customHeight="1" x14ac:dyDescent="0.25">
      <c r="B452" s="5"/>
    </row>
    <row r="453" spans="2:2" ht="14.25" customHeight="1" x14ac:dyDescent="0.25">
      <c r="B453" s="5"/>
    </row>
    <row r="454" spans="2:2" ht="14.25" customHeight="1" x14ac:dyDescent="0.25">
      <c r="B454" s="5"/>
    </row>
    <row r="455" spans="2:2" ht="14.25" customHeight="1" x14ac:dyDescent="0.25">
      <c r="B455" s="5"/>
    </row>
    <row r="456" spans="2:2" ht="14.25" customHeight="1" x14ac:dyDescent="0.25">
      <c r="B456" s="5"/>
    </row>
    <row r="457" spans="2:2" ht="14.25" customHeight="1" x14ac:dyDescent="0.25">
      <c r="B457" s="5"/>
    </row>
    <row r="458" spans="2:2" ht="14.25" customHeight="1" x14ac:dyDescent="0.25">
      <c r="B458" s="5"/>
    </row>
    <row r="459" spans="2:2" ht="14.25" customHeight="1" x14ac:dyDescent="0.25">
      <c r="B459" s="5"/>
    </row>
    <row r="460" spans="2:2" ht="14.25" customHeight="1" x14ac:dyDescent="0.25">
      <c r="B460" s="5"/>
    </row>
    <row r="461" spans="2:2" ht="14.25" customHeight="1" x14ac:dyDescent="0.25">
      <c r="B461" s="5"/>
    </row>
    <row r="462" spans="2:2" ht="14.25" customHeight="1" x14ac:dyDescent="0.25">
      <c r="B462" s="5"/>
    </row>
    <row r="463" spans="2:2" ht="14.25" customHeight="1" x14ac:dyDescent="0.25">
      <c r="B463" s="5"/>
    </row>
    <row r="464" spans="2:2" ht="14.25" customHeight="1" x14ac:dyDescent="0.25">
      <c r="B464" s="5"/>
    </row>
    <row r="465" spans="2:2" ht="14.25" customHeight="1" x14ac:dyDescent="0.25">
      <c r="B465" s="5"/>
    </row>
    <row r="466" spans="2:2" ht="14.25" customHeight="1" x14ac:dyDescent="0.25">
      <c r="B466" s="5"/>
    </row>
    <row r="467" spans="2:2" ht="14.25" customHeight="1" x14ac:dyDescent="0.25">
      <c r="B467" s="5"/>
    </row>
    <row r="468" spans="2:2" ht="14.25" customHeight="1" x14ac:dyDescent="0.25">
      <c r="B468" s="5"/>
    </row>
    <row r="469" spans="2:2" ht="14.25" customHeight="1" x14ac:dyDescent="0.25">
      <c r="B469" s="5"/>
    </row>
    <row r="470" spans="2:2" ht="14.25" customHeight="1" x14ac:dyDescent="0.25">
      <c r="B470" s="5"/>
    </row>
    <row r="471" spans="2:2" ht="14.25" customHeight="1" x14ac:dyDescent="0.25">
      <c r="B471" s="5"/>
    </row>
    <row r="472" spans="2:2" ht="14.25" customHeight="1" x14ac:dyDescent="0.25">
      <c r="B472" s="5"/>
    </row>
    <row r="473" spans="2:2" ht="14.25" customHeight="1" x14ac:dyDescent="0.25">
      <c r="B473" s="5"/>
    </row>
    <row r="474" spans="2:2" ht="14.25" customHeight="1" x14ac:dyDescent="0.25">
      <c r="B474" s="5"/>
    </row>
    <row r="475" spans="2:2" ht="14.25" customHeight="1" x14ac:dyDescent="0.25">
      <c r="B475" s="5"/>
    </row>
    <row r="476" spans="2:2" ht="14.25" customHeight="1" x14ac:dyDescent="0.25">
      <c r="B476" s="5"/>
    </row>
    <row r="477" spans="2:2" ht="14.25" customHeight="1" x14ac:dyDescent="0.25">
      <c r="B477" s="5"/>
    </row>
    <row r="478" spans="2:2" ht="14.25" customHeight="1" x14ac:dyDescent="0.25">
      <c r="B478" s="5"/>
    </row>
    <row r="479" spans="2:2" ht="14.25" customHeight="1" x14ac:dyDescent="0.25">
      <c r="B479" s="5"/>
    </row>
    <row r="480" spans="2:2" ht="14.25" customHeight="1" x14ac:dyDescent="0.25">
      <c r="B480" s="5"/>
    </row>
    <row r="481" spans="2:2" ht="14.25" customHeight="1" x14ac:dyDescent="0.25">
      <c r="B481" s="5"/>
    </row>
    <row r="482" spans="2:2" ht="14.25" customHeight="1" x14ac:dyDescent="0.25">
      <c r="B482" s="5"/>
    </row>
    <row r="483" spans="2:2" ht="14.25" customHeight="1" x14ac:dyDescent="0.25">
      <c r="B483" s="5"/>
    </row>
    <row r="484" spans="2:2" ht="14.25" customHeight="1" x14ac:dyDescent="0.25">
      <c r="B484" s="5"/>
    </row>
    <row r="485" spans="2:2" ht="14.25" customHeight="1" x14ac:dyDescent="0.25">
      <c r="B485" s="5"/>
    </row>
    <row r="486" spans="2:2" ht="14.25" customHeight="1" x14ac:dyDescent="0.25">
      <c r="B486" s="5"/>
    </row>
    <row r="487" spans="2:2" ht="14.25" customHeight="1" x14ac:dyDescent="0.25">
      <c r="B487" s="5"/>
    </row>
    <row r="488" spans="2:2" ht="14.25" customHeight="1" x14ac:dyDescent="0.25">
      <c r="B488" s="5"/>
    </row>
    <row r="489" spans="2:2" ht="14.25" customHeight="1" x14ac:dyDescent="0.25">
      <c r="B489" s="5"/>
    </row>
    <row r="490" spans="2:2" ht="14.25" customHeight="1" x14ac:dyDescent="0.25">
      <c r="B490" s="5"/>
    </row>
    <row r="491" spans="2:2" ht="14.25" customHeight="1" x14ac:dyDescent="0.25">
      <c r="B491" s="5"/>
    </row>
    <row r="492" spans="2:2" ht="14.25" customHeight="1" x14ac:dyDescent="0.25">
      <c r="B492" s="5"/>
    </row>
    <row r="493" spans="2:2" ht="14.25" customHeight="1" x14ac:dyDescent="0.25">
      <c r="B493" s="5"/>
    </row>
    <row r="494" spans="2:2" ht="14.25" customHeight="1" x14ac:dyDescent="0.25">
      <c r="B494" s="5"/>
    </row>
    <row r="495" spans="2:2" ht="14.25" customHeight="1" x14ac:dyDescent="0.25">
      <c r="B495" s="5"/>
    </row>
    <row r="496" spans="2:2" ht="14.25" customHeight="1" x14ac:dyDescent="0.25">
      <c r="B496" s="5"/>
    </row>
    <row r="497" spans="2:2" ht="14.25" customHeight="1" x14ac:dyDescent="0.25">
      <c r="B497" s="5"/>
    </row>
    <row r="498" spans="2:2" ht="14.25" customHeight="1" x14ac:dyDescent="0.25">
      <c r="B498" s="5"/>
    </row>
    <row r="499" spans="2:2" ht="14.25" customHeight="1" x14ac:dyDescent="0.25">
      <c r="B499" s="5"/>
    </row>
    <row r="500" spans="2:2" ht="14.25" customHeight="1" x14ac:dyDescent="0.25">
      <c r="B500" s="5"/>
    </row>
    <row r="501" spans="2:2" ht="14.25" customHeight="1" x14ac:dyDescent="0.25">
      <c r="B501" s="5"/>
    </row>
    <row r="502" spans="2:2" ht="14.25" customHeight="1" x14ac:dyDescent="0.25">
      <c r="B502" s="5"/>
    </row>
    <row r="503" spans="2:2" ht="14.25" customHeight="1" x14ac:dyDescent="0.25">
      <c r="B503" s="5"/>
    </row>
    <row r="504" spans="2:2" ht="14.25" customHeight="1" x14ac:dyDescent="0.25">
      <c r="B504" s="5"/>
    </row>
    <row r="505" spans="2:2" ht="14.25" customHeight="1" x14ac:dyDescent="0.25">
      <c r="B505" s="5"/>
    </row>
    <row r="506" spans="2:2" ht="14.25" customHeight="1" x14ac:dyDescent="0.25">
      <c r="B506" s="5"/>
    </row>
    <row r="507" spans="2:2" ht="14.25" customHeight="1" x14ac:dyDescent="0.25">
      <c r="B507" s="5"/>
    </row>
    <row r="508" spans="2:2" ht="14.25" customHeight="1" x14ac:dyDescent="0.25">
      <c r="B508" s="5"/>
    </row>
    <row r="509" spans="2:2" ht="14.25" customHeight="1" x14ac:dyDescent="0.25">
      <c r="B509" s="5"/>
    </row>
    <row r="510" spans="2:2" ht="14.25" customHeight="1" x14ac:dyDescent="0.25">
      <c r="B510" s="5"/>
    </row>
    <row r="511" spans="2:2" ht="14.25" customHeight="1" x14ac:dyDescent="0.25">
      <c r="B511" s="5"/>
    </row>
    <row r="512" spans="2:2" ht="14.25" customHeight="1" x14ac:dyDescent="0.25">
      <c r="B512" s="5"/>
    </row>
    <row r="513" spans="2:2" ht="14.25" customHeight="1" x14ac:dyDescent="0.25">
      <c r="B513" s="5"/>
    </row>
    <row r="514" spans="2:2" ht="14.25" customHeight="1" x14ac:dyDescent="0.25">
      <c r="B514" s="5"/>
    </row>
    <row r="515" spans="2:2" ht="14.25" customHeight="1" x14ac:dyDescent="0.25">
      <c r="B515" s="5"/>
    </row>
    <row r="516" spans="2:2" ht="14.25" customHeight="1" x14ac:dyDescent="0.25">
      <c r="B516" s="5"/>
    </row>
    <row r="517" spans="2:2" ht="14.25" customHeight="1" x14ac:dyDescent="0.25">
      <c r="B517" s="5"/>
    </row>
    <row r="518" spans="2:2" ht="14.25" customHeight="1" x14ac:dyDescent="0.25">
      <c r="B518" s="5"/>
    </row>
    <row r="519" spans="2:2" ht="14.25" customHeight="1" x14ac:dyDescent="0.25">
      <c r="B519" s="5"/>
    </row>
    <row r="520" spans="2:2" ht="14.25" customHeight="1" x14ac:dyDescent="0.25">
      <c r="B520" s="5"/>
    </row>
    <row r="521" spans="2:2" ht="14.25" customHeight="1" x14ac:dyDescent="0.25">
      <c r="B521" s="5"/>
    </row>
    <row r="522" spans="2:2" ht="14.25" customHeight="1" x14ac:dyDescent="0.25">
      <c r="B522" s="5"/>
    </row>
    <row r="523" spans="2:2" ht="14.25" customHeight="1" x14ac:dyDescent="0.25">
      <c r="B523" s="5"/>
    </row>
    <row r="524" spans="2:2" ht="14.25" customHeight="1" x14ac:dyDescent="0.25">
      <c r="B524" s="5"/>
    </row>
    <row r="525" spans="2:2" ht="14.25" customHeight="1" x14ac:dyDescent="0.25">
      <c r="B525" s="5"/>
    </row>
    <row r="526" spans="2:2" ht="14.25" customHeight="1" x14ac:dyDescent="0.25">
      <c r="B526" s="5"/>
    </row>
    <row r="527" spans="2:2" ht="14.25" customHeight="1" x14ac:dyDescent="0.25">
      <c r="B527" s="5"/>
    </row>
    <row r="528" spans="2:2" ht="14.25" customHeight="1" x14ac:dyDescent="0.25">
      <c r="B528" s="5"/>
    </row>
    <row r="529" spans="2:2" ht="14.25" customHeight="1" x14ac:dyDescent="0.25">
      <c r="B529" s="5"/>
    </row>
    <row r="530" spans="2:2" ht="14.25" customHeight="1" x14ac:dyDescent="0.25">
      <c r="B530" s="5"/>
    </row>
    <row r="531" spans="2:2" ht="14.25" customHeight="1" x14ac:dyDescent="0.25">
      <c r="B531" s="5"/>
    </row>
    <row r="532" spans="2:2" ht="14.25" customHeight="1" x14ac:dyDescent="0.25">
      <c r="B532" s="5"/>
    </row>
    <row r="533" spans="2:2" ht="14.25" customHeight="1" x14ac:dyDescent="0.25">
      <c r="B533" s="5"/>
    </row>
    <row r="534" spans="2:2" ht="14.25" customHeight="1" x14ac:dyDescent="0.25">
      <c r="B534" s="5"/>
    </row>
    <row r="535" spans="2:2" ht="14.25" customHeight="1" x14ac:dyDescent="0.25">
      <c r="B535" s="5"/>
    </row>
    <row r="536" spans="2:2" ht="14.25" customHeight="1" x14ac:dyDescent="0.25">
      <c r="B536" s="5"/>
    </row>
    <row r="537" spans="2:2" ht="14.25" customHeight="1" x14ac:dyDescent="0.25">
      <c r="B537" s="5"/>
    </row>
    <row r="538" spans="2:2" ht="14.25" customHeight="1" x14ac:dyDescent="0.25">
      <c r="B538" s="5"/>
    </row>
    <row r="539" spans="2:2" ht="14.25" customHeight="1" x14ac:dyDescent="0.25">
      <c r="B539" s="5"/>
    </row>
    <row r="540" spans="2:2" ht="14.25" customHeight="1" x14ac:dyDescent="0.25">
      <c r="B540" s="5"/>
    </row>
    <row r="541" spans="2:2" ht="14.25" customHeight="1" x14ac:dyDescent="0.25">
      <c r="B541" s="5"/>
    </row>
    <row r="542" spans="2:2" ht="14.25" customHeight="1" x14ac:dyDescent="0.25">
      <c r="B542" s="5"/>
    </row>
    <row r="543" spans="2:2" ht="14.25" customHeight="1" x14ac:dyDescent="0.25">
      <c r="B543" s="5"/>
    </row>
    <row r="544" spans="2:2" ht="14.25" customHeight="1" x14ac:dyDescent="0.25">
      <c r="B544" s="5"/>
    </row>
    <row r="545" spans="2:2" ht="14.25" customHeight="1" x14ac:dyDescent="0.25">
      <c r="B545" s="5"/>
    </row>
    <row r="546" spans="2:2" ht="14.25" customHeight="1" x14ac:dyDescent="0.25">
      <c r="B546" s="5"/>
    </row>
    <row r="547" spans="2:2" ht="14.25" customHeight="1" x14ac:dyDescent="0.25">
      <c r="B547" s="5"/>
    </row>
    <row r="548" spans="2:2" ht="14.25" customHeight="1" x14ac:dyDescent="0.25">
      <c r="B548" s="5"/>
    </row>
    <row r="549" spans="2:2" ht="14.25" customHeight="1" x14ac:dyDescent="0.25">
      <c r="B549" s="5"/>
    </row>
    <row r="550" spans="2:2" ht="14.25" customHeight="1" x14ac:dyDescent="0.25">
      <c r="B550" s="5"/>
    </row>
    <row r="551" spans="2:2" ht="14.25" customHeight="1" x14ac:dyDescent="0.25">
      <c r="B551" s="5"/>
    </row>
    <row r="552" spans="2:2" ht="14.25" customHeight="1" x14ac:dyDescent="0.25">
      <c r="B552" s="5"/>
    </row>
    <row r="553" spans="2:2" ht="14.25" customHeight="1" x14ac:dyDescent="0.25">
      <c r="B553" s="5"/>
    </row>
    <row r="554" spans="2:2" ht="14.25" customHeight="1" x14ac:dyDescent="0.25">
      <c r="B554" s="5"/>
    </row>
    <row r="555" spans="2:2" ht="14.25" customHeight="1" x14ac:dyDescent="0.25">
      <c r="B555" s="5"/>
    </row>
    <row r="556" spans="2:2" ht="14.25" customHeight="1" x14ac:dyDescent="0.25">
      <c r="B556" s="5"/>
    </row>
    <row r="557" spans="2:2" ht="14.25" customHeight="1" x14ac:dyDescent="0.25">
      <c r="B557" s="5"/>
    </row>
    <row r="558" spans="2:2" ht="14.25" customHeight="1" x14ac:dyDescent="0.25">
      <c r="B558" s="5"/>
    </row>
    <row r="559" spans="2:2" ht="14.25" customHeight="1" x14ac:dyDescent="0.25">
      <c r="B559" s="5"/>
    </row>
    <row r="560" spans="2:2" ht="14.25" customHeight="1" x14ac:dyDescent="0.25">
      <c r="B560" s="5"/>
    </row>
    <row r="561" spans="2:2" ht="14.25" customHeight="1" x14ac:dyDescent="0.25">
      <c r="B561" s="5"/>
    </row>
    <row r="562" spans="2:2" ht="14.25" customHeight="1" x14ac:dyDescent="0.25">
      <c r="B562" s="5"/>
    </row>
    <row r="563" spans="2:2" ht="14.25" customHeight="1" x14ac:dyDescent="0.25">
      <c r="B563" s="5"/>
    </row>
    <row r="564" spans="2:2" ht="14.25" customHeight="1" x14ac:dyDescent="0.25">
      <c r="B564" s="5"/>
    </row>
    <row r="565" spans="2:2" ht="14.25" customHeight="1" x14ac:dyDescent="0.25">
      <c r="B565" s="5"/>
    </row>
    <row r="566" spans="2:2" ht="14.25" customHeight="1" x14ac:dyDescent="0.25">
      <c r="B566" s="5"/>
    </row>
    <row r="567" spans="2:2" ht="14.25" customHeight="1" x14ac:dyDescent="0.25">
      <c r="B567" s="5"/>
    </row>
    <row r="568" spans="2:2" ht="14.25" customHeight="1" x14ac:dyDescent="0.25">
      <c r="B568" s="5"/>
    </row>
    <row r="569" spans="2:2" ht="14.25" customHeight="1" x14ac:dyDescent="0.25">
      <c r="B569" s="5"/>
    </row>
    <row r="570" spans="2:2" ht="14.25" customHeight="1" x14ac:dyDescent="0.25">
      <c r="B570" s="5"/>
    </row>
    <row r="571" spans="2:2" ht="14.25" customHeight="1" x14ac:dyDescent="0.25">
      <c r="B571" s="5"/>
    </row>
    <row r="572" spans="2:2" ht="14.25" customHeight="1" x14ac:dyDescent="0.25">
      <c r="B572" s="5"/>
    </row>
    <row r="573" spans="2:2" ht="14.25" customHeight="1" x14ac:dyDescent="0.25">
      <c r="B573" s="5"/>
    </row>
    <row r="574" spans="2:2" ht="14.25" customHeight="1" x14ac:dyDescent="0.25">
      <c r="B574" s="5"/>
    </row>
    <row r="575" spans="2:2" ht="14.25" customHeight="1" x14ac:dyDescent="0.25">
      <c r="B575" s="5"/>
    </row>
    <row r="576" spans="2:2" ht="14.25" customHeight="1" x14ac:dyDescent="0.25">
      <c r="B576" s="5"/>
    </row>
    <row r="577" spans="2:2" ht="14.25" customHeight="1" x14ac:dyDescent="0.25">
      <c r="B577" s="5"/>
    </row>
    <row r="578" spans="2:2" ht="14.25" customHeight="1" x14ac:dyDescent="0.25">
      <c r="B578" s="5"/>
    </row>
    <row r="579" spans="2:2" ht="14.25" customHeight="1" x14ac:dyDescent="0.25">
      <c r="B579" s="5"/>
    </row>
    <row r="580" spans="2:2" ht="14.25" customHeight="1" x14ac:dyDescent="0.25">
      <c r="B580" s="5"/>
    </row>
    <row r="581" spans="2:2" ht="14.25" customHeight="1" x14ac:dyDescent="0.25">
      <c r="B581" s="5"/>
    </row>
    <row r="582" spans="2:2" ht="14.25" customHeight="1" x14ac:dyDescent="0.25">
      <c r="B582" s="5"/>
    </row>
    <row r="583" spans="2:2" ht="14.25" customHeight="1" x14ac:dyDescent="0.25">
      <c r="B583" s="5"/>
    </row>
    <row r="584" spans="2:2" ht="14.25" customHeight="1" x14ac:dyDescent="0.25">
      <c r="B584" s="5"/>
    </row>
    <row r="585" spans="2:2" ht="14.25" customHeight="1" x14ac:dyDescent="0.25">
      <c r="B585" s="5"/>
    </row>
    <row r="586" spans="2:2" ht="14.25" customHeight="1" x14ac:dyDescent="0.25">
      <c r="B586" s="5"/>
    </row>
    <row r="587" spans="2:2" ht="14.25" customHeight="1" x14ac:dyDescent="0.25">
      <c r="B587" s="5"/>
    </row>
    <row r="588" spans="2:2" ht="14.25" customHeight="1" x14ac:dyDescent="0.25">
      <c r="B588" s="5"/>
    </row>
    <row r="589" spans="2:2" ht="14.25" customHeight="1" x14ac:dyDescent="0.25">
      <c r="B589" s="5"/>
    </row>
    <row r="590" spans="2:2" ht="14.25" customHeight="1" x14ac:dyDescent="0.25">
      <c r="B590" s="5"/>
    </row>
    <row r="591" spans="2:2" ht="14.25" customHeight="1" x14ac:dyDescent="0.25">
      <c r="B591" s="5"/>
    </row>
    <row r="592" spans="2:2" ht="14.25" customHeight="1" x14ac:dyDescent="0.25">
      <c r="B592" s="5"/>
    </row>
    <row r="593" spans="2:2" ht="14.25" customHeight="1" x14ac:dyDescent="0.25">
      <c r="B593" s="5"/>
    </row>
    <row r="594" spans="2:2" ht="14.25" customHeight="1" x14ac:dyDescent="0.25">
      <c r="B594" s="5"/>
    </row>
    <row r="595" spans="2:2" ht="14.25" customHeight="1" x14ac:dyDescent="0.25">
      <c r="B595" s="5"/>
    </row>
    <row r="596" spans="2:2" ht="14.25" customHeight="1" x14ac:dyDescent="0.25">
      <c r="B596" s="5"/>
    </row>
    <row r="597" spans="2:2" ht="14.25" customHeight="1" x14ac:dyDescent="0.25">
      <c r="B597" s="5"/>
    </row>
    <row r="598" spans="2:2" ht="14.25" customHeight="1" x14ac:dyDescent="0.25">
      <c r="B598" s="5"/>
    </row>
    <row r="599" spans="2:2" ht="14.25" customHeight="1" x14ac:dyDescent="0.25">
      <c r="B599" s="5"/>
    </row>
    <row r="600" spans="2:2" ht="14.25" customHeight="1" x14ac:dyDescent="0.25">
      <c r="B600" s="5"/>
    </row>
    <row r="601" spans="2:2" ht="14.25" customHeight="1" x14ac:dyDescent="0.25">
      <c r="B601" s="5"/>
    </row>
    <row r="602" spans="2:2" ht="14.25" customHeight="1" x14ac:dyDescent="0.25">
      <c r="B602" s="5"/>
    </row>
    <row r="603" spans="2:2" ht="14.25" customHeight="1" x14ac:dyDescent="0.25">
      <c r="B603" s="5"/>
    </row>
    <row r="604" spans="2:2" ht="14.25" customHeight="1" x14ac:dyDescent="0.25">
      <c r="B604" s="5"/>
    </row>
    <row r="605" spans="2:2" ht="14.25" customHeight="1" x14ac:dyDescent="0.25">
      <c r="B605" s="5"/>
    </row>
    <row r="606" spans="2:2" ht="14.25" customHeight="1" x14ac:dyDescent="0.25">
      <c r="B606" s="5"/>
    </row>
    <row r="607" spans="2:2" ht="14.25" customHeight="1" x14ac:dyDescent="0.25">
      <c r="B607" s="5"/>
    </row>
    <row r="608" spans="2:2" ht="14.25" customHeight="1" x14ac:dyDescent="0.25">
      <c r="B608" s="5"/>
    </row>
    <row r="609" spans="2:2" ht="14.25" customHeight="1" x14ac:dyDescent="0.25">
      <c r="B609" s="5"/>
    </row>
    <row r="610" spans="2:2" ht="14.25" customHeight="1" x14ac:dyDescent="0.25">
      <c r="B610" s="5"/>
    </row>
    <row r="611" spans="2:2" ht="14.25" customHeight="1" x14ac:dyDescent="0.25">
      <c r="B611" s="5"/>
    </row>
    <row r="612" spans="2:2" ht="14.25" customHeight="1" x14ac:dyDescent="0.25">
      <c r="B612" s="5"/>
    </row>
    <row r="613" spans="2:2" ht="14.25" customHeight="1" x14ac:dyDescent="0.25">
      <c r="B613" s="5"/>
    </row>
    <row r="614" spans="2:2" ht="14.25" customHeight="1" x14ac:dyDescent="0.25">
      <c r="B614" s="5"/>
    </row>
    <row r="615" spans="2:2" ht="14.25" customHeight="1" x14ac:dyDescent="0.25">
      <c r="B615" s="5"/>
    </row>
    <row r="616" spans="2:2" ht="14.25" customHeight="1" x14ac:dyDescent="0.25">
      <c r="B616" s="5"/>
    </row>
    <row r="617" spans="2:2" ht="14.25" customHeight="1" x14ac:dyDescent="0.25">
      <c r="B617" s="5"/>
    </row>
    <row r="618" spans="2:2" ht="14.25" customHeight="1" x14ac:dyDescent="0.25">
      <c r="B618" s="5"/>
    </row>
    <row r="619" spans="2:2" ht="14.25" customHeight="1" x14ac:dyDescent="0.25">
      <c r="B619" s="5"/>
    </row>
    <row r="620" spans="2:2" ht="14.25" customHeight="1" x14ac:dyDescent="0.25">
      <c r="B620" s="5"/>
    </row>
    <row r="621" spans="2:2" ht="14.25" customHeight="1" x14ac:dyDescent="0.25">
      <c r="B621" s="5"/>
    </row>
    <row r="622" spans="2:2" ht="14.25" customHeight="1" x14ac:dyDescent="0.25">
      <c r="B622" s="5"/>
    </row>
    <row r="623" spans="2:2" ht="14.25" customHeight="1" x14ac:dyDescent="0.25">
      <c r="B623" s="5"/>
    </row>
    <row r="624" spans="2:2" ht="14.25" customHeight="1" x14ac:dyDescent="0.25">
      <c r="B624" s="5"/>
    </row>
    <row r="625" spans="2:2" ht="14.25" customHeight="1" x14ac:dyDescent="0.25">
      <c r="B625" s="5"/>
    </row>
    <row r="626" spans="2:2" ht="14.25" customHeight="1" x14ac:dyDescent="0.25">
      <c r="B626" s="5"/>
    </row>
    <row r="627" spans="2:2" ht="14.25" customHeight="1" x14ac:dyDescent="0.25">
      <c r="B627" s="5"/>
    </row>
    <row r="628" spans="2:2" ht="14.25" customHeight="1" x14ac:dyDescent="0.25">
      <c r="B628" s="5"/>
    </row>
    <row r="629" spans="2:2" ht="14.25" customHeight="1" x14ac:dyDescent="0.25">
      <c r="B629" s="5"/>
    </row>
    <row r="630" spans="2:2" ht="14.25" customHeight="1" x14ac:dyDescent="0.25">
      <c r="B630" s="5"/>
    </row>
    <row r="631" spans="2:2" ht="14.25" customHeight="1" x14ac:dyDescent="0.25">
      <c r="B631" s="5"/>
    </row>
    <row r="632" spans="2:2" ht="14.25" customHeight="1" x14ac:dyDescent="0.25">
      <c r="B632" s="5"/>
    </row>
    <row r="633" spans="2:2" ht="14.25" customHeight="1" x14ac:dyDescent="0.25">
      <c r="B633" s="5"/>
    </row>
    <row r="634" spans="2:2" ht="14.25" customHeight="1" x14ac:dyDescent="0.25">
      <c r="B634" s="5"/>
    </row>
    <row r="635" spans="2:2" ht="14.25" customHeight="1" x14ac:dyDescent="0.25">
      <c r="B635" s="5"/>
    </row>
    <row r="636" spans="2:2" ht="14.25" customHeight="1" x14ac:dyDescent="0.25">
      <c r="B636" s="5"/>
    </row>
    <row r="637" spans="2:2" ht="14.25" customHeight="1" x14ac:dyDescent="0.25">
      <c r="B637" s="5"/>
    </row>
    <row r="638" spans="2:2" ht="14.25" customHeight="1" x14ac:dyDescent="0.25">
      <c r="B638" s="5"/>
    </row>
    <row r="639" spans="2:2" ht="14.25" customHeight="1" x14ac:dyDescent="0.25">
      <c r="B639" s="5"/>
    </row>
    <row r="640" spans="2:2" ht="14.25" customHeight="1" x14ac:dyDescent="0.25">
      <c r="B640" s="5"/>
    </row>
    <row r="641" spans="2:2" ht="14.25" customHeight="1" x14ac:dyDescent="0.25">
      <c r="B641" s="5"/>
    </row>
    <row r="642" spans="2:2" ht="14.25" customHeight="1" x14ac:dyDescent="0.25">
      <c r="B642" s="5"/>
    </row>
    <row r="643" spans="2:2" ht="14.25" customHeight="1" x14ac:dyDescent="0.25">
      <c r="B643" s="5"/>
    </row>
    <row r="644" spans="2:2" ht="14.25" customHeight="1" x14ac:dyDescent="0.25">
      <c r="B644" s="5"/>
    </row>
    <row r="645" spans="2:2" ht="14.25" customHeight="1" x14ac:dyDescent="0.25">
      <c r="B645" s="5"/>
    </row>
    <row r="646" spans="2:2" ht="14.25" customHeight="1" x14ac:dyDescent="0.25">
      <c r="B646" s="5"/>
    </row>
    <row r="647" spans="2:2" ht="14.25" customHeight="1" x14ac:dyDescent="0.25">
      <c r="B647" s="5"/>
    </row>
    <row r="648" spans="2:2" ht="14.25" customHeight="1" x14ac:dyDescent="0.25">
      <c r="B648" s="5"/>
    </row>
    <row r="649" spans="2:2" ht="14.25" customHeight="1" x14ac:dyDescent="0.25">
      <c r="B649" s="5"/>
    </row>
    <row r="650" spans="2:2" ht="14.25" customHeight="1" x14ac:dyDescent="0.25">
      <c r="B650" s="5"/>
    </row>
    <row r="651" spans="2:2" ht="14.25" customHeight="1" x14ac:dyDescent="0.25">
      <c r="B651" s="5"/>
    </row>
    <row r="652" spans="2:2" ht="14.25" customHeight="1" x14ac:dyDescent="0.25">
      <c r="B652" s="5"/>
    </row>
    <row r="653" spans="2:2" ht="14.25" customHeight="1" x14ac:dyDescent="0.25">
      <c r="B653" s="5"/>
    </row>
    <row r="654" spans="2:2" ht="14.25" customHeight="1" x14ac:dyDescent="0.25">
      <c r="B654" s="5"/>
    </row>
    <row r="655" spans="2:2" ht="14.25" customHeight="1" x14ac:dyDescent="0.25">
      <c r="B655" s="5"/>
    </row>
    <row r="656" spans="2:2" ht="14.25" customHeight="1" x14ac:dyDescent="0.25">
      <c r="B656" s="5"/>
    </row>
    <row r="657" spans="2:2" ht="14.25" customHeight="1" x14ac:dyDescent="0.25">
      <c r="B657" s="5"/>
    </row>
    <row r="658" spans="2:2" ht="14.25" customHeight="1" x14ac:dyDescent="0.25">
      <c r="B658" s="5"/>
    </row>
    <row r="659" spans="2:2" ht="14.25" customHeight="1" x14ac:dyDescent="0.25">
      <c r="B659" s="5"/>
    </row>
    <row r="660" spans="2:2" ht="14.25" customHeight="1" x14ac:dyDescent="0.25">
      <c r="B660" s="5"/>
    </row>
    <row r="661" spans="2:2" ht="14.25" customHeight="1" x14ac:dyDescent="0.25">
      <c r="B661" s="5"/>
    </row>
    <row r="662" spans="2:2" ht="14.25" customHeight="1" x14ac:dyDescent="0.25">
      <c r="B662" s="5"/>
    </row>
    <row r="663" spans="2:2" ht="14.25" customHeight="1" x14ac:dyDescent="0.25">
      <c r="B663" s="5"/>
    </row>
    <row r="664" spans="2:2" ht="14.25" customHeight="1" x14ac:dyDescent="0.25">
      <c r="B664" s="5"/>
    </row>
    <row r="665" spans="2:2" ht="14.25" customHeight="1" x14ac:dyDescent="0.25">
      <c r="B665" s="5"/>
    </row>
    <row r="666" spans="2:2" ht="14.25" customHeight="1" x14ac:dyDescent="0.25">
      <c r="B666" s="5"/>
    </row>
    <row r="667" spans="2:2" ht="14.25" customHeight="1" x14ac:dyDescent="0.25">
      <c r="B667" s="5"/>
    </row>
    <row r="668" spans="2:2" ht="14.25" customHeight="1" x14ac:dyDescent="0.25">
      <c r="B668" s="5"/>
    </row>
    <row r="669" spans="2:2" ht="14.25" customHeight="1" x14ac:dyDescent="0.25">
      <c r="B669" s="5"/>
    </row>
    <row r="670" spans="2:2" ht="14.25" customHeight="1" x14ac:dyDescent="0.25">
      <c r="B670" s="5"/>
    </row>
    <row r="671" spans="2:2" ht="14.25" customHeight="1" x14ac:dyDescent="0.25">
      <c r="B671" s="5"/>
    </row>
    <row r="672" spans="2:2" ht="14.25" customHeight="1" x14ac:dyDescent="0.25">
      <c r="B672" s="5"/>
    </row>
    <row r="673" spans="2:2" ht="14.25" customHeight="1" x14ac:dyDescent="0.25">
      <c r="B673" s="5"/>
    </row>
    <row r="674" spans="2:2" ht="14.25" customHeight="1" x14ac:dyDescent="0.25">
      <c r="B674" s="5"/>
    </row>
    <row r="675" spans="2:2" ht="14.25" customHeight="1" x14ac:dyDescent="0.25">
      <c r="B675" s="5"/>
    </row>
    <row r="676" spans="2:2" ht="14.25" customHeight="1" x14ac:dyDescent="0.25">
      <c r="B676" s="5"/>
    </row>
    <row r="677" spans="2:2" ht="14.25" customHeight="1" x14ac:dyDescent="0.25">
      <c r="B677" s="5"/>
    </row>
    <row r="678" spans="2:2" ht="14.25" customHeight="1" x14ac:dyDescent="0.25">
      <c r="B678" s="5"/>
    </row>
    <row r="679" spans="2:2" ht="14.25" customHeight="1" x14ac:dyDescent="0.25">
      <c r="B679" s="5"/>
    </row>
    <row r="680" spans="2:2" ht="14.25" customHeight="1" x14ac:dyDescent="0.25">
      <c r="B680" s="5"/>
    </row>
    <row r="681" spans="2:2" ht="14.25" customHeight="1" x14ac:dyDescent="0.25">
      <c r="B681" s="5"/>
    </row>
    <row r="682" spans="2:2" ht="14.25" customHeight="1" x14ac:dyDescent="0.25">
      <c r="B682" s="5"/>
    </row>
    <row r="683" spans="2:2" ht="14.25" customHeight="1" x14ac:dyDescent="0.25">
      <c r="B683" s="5"/>
    </row>
    <row r="684" spans="2:2" ht="14.25" customHeight="1" x14ac:dyDescent="0.25">
      <c r="B684" s="5"/>
    </row>
    <row r="685" spans="2:2" ht="14.25" customHeight="1" x14ac:dyDescent="0.25">
      <c r="B685" s="5"/>
    </row>
    <row r="686" spans="2:2" ht="14.25" customHeight="1" x14ac:dyDescent="0.25">
      <c r="B686" s="5"/>
    </row>
    <row r="687" spans="2:2" ht="14.25" customHeight="1" x14ac:dyDescent="0.25">
      <c r="B687" s="5"/>
    </row>
    <row r="688" spans="2:2" ht="14.25" customHeight="1" x14ac:dyDescent="0.25">
      <c r="B688" s="5"/>
    </row>
    <row r="689" spans="2:2" ht="14.25" customHeight="1" x14ac:dyDescent="0.25">
      <c r="B689" s="5"/>
    </row>
    <row r="690" spans="2:2" ht="14.25" customHeight="1" x14ac:dyDescent="0.25">
      <c r="B690" s="5"/>
    </row>
    <row r="691" spans="2:2" ht="14.25" customHeight="1" x14ac:dyDescent="0.25">
      <c r="B691" s="5"/>
    </row>
    <row r="692" spans="2:2" ht="14.25" customHeight="1" x14ac:dyDescent="0.25">
      <c r="B692" s="5"/>
    </row>
    <row r="693" spans="2:2" ht="14.25" customHeight="1" x14ac:dyDescent="0.25">
      <c r="B693" s="5"/>
    </row>
    <row r="694" spans="2:2" ht="14.25" customHeight="1" x14ac:dyDescent="0.25">
      <c r="B694" s="5"/>
    </row>
    <row r="695" spans="2:2" ht="14.25" customHeight="1" x14ac:dyDescent="0.25">
      <c r="B695" s="5"/>
    </row>
    <row r="696" spans="2:2" ht="14.25" customHeight="1" x14ac:dyDescent="0.25">
      <c r="B696" s="5"/>
    </row>
    <row r="697" spans="2:2" ht="14.25" customHeight="1" x14ac:dyDescent="0.25">
      <c r="B697" s="5"/>
    </row>
    <row r="698" spans="2:2" ht="14.25" customHeight="1" x14ac:dyDescent="0.25">
      <c r="B698" s="5"/>
    </row>
    <row r="699" spans="2:2" ht="14.25" customHeight="1" x14ac:dyDescent="0.25">
      <c r="B699" s="5"/>
    </row>
    <row r="700" spans="2:2" ht="14.25" customHeight="1" x14ac:dyDescent="0.25">
      <c r="B700" s="5"/>
    </row>
    <row r="701" spans="2:2" ht="14.25" customHeight="1" x14ac:dyDescent="0.25">
      <c r="B701" s="5"/>
    </row>
    <row r="702" spans="2:2" ht="14.25" customHeight="1" x14ac:dyDescent="0.25">
      <c r="B702" s="5"/>
    </row>
    <row r="703" spans="2:2" ht="14.25" customHeight="1" x14ac:dyDescent="0.25">
      <c r="B703" s="5"/>
    </row>
    <row r="704" spans="2:2" ht="14.25" customHeight="1" x14ac:dyDescent="0.25">
      <c r="B704" s="5"/>
    </row>
    <row r="705" spans="2:2" ht="14.25" customHeight="1" x14ac:dyDescent="0.25">
      <c r="B705" s="5"/>
    </row>
    <row r="706" spans="2:2" ht="14.25" customHeight="1" x14ac:dyDescent="0.25">
      <c r="B706" s="5"/>
    </row>
    <row r="707" spans="2:2" ht="14.25" customHeight="1" x14ac:dyDescent="0.25">
      <c r="B707" s="5"/>
    </row>
    <row r="708" spans="2:2" ht="14.25" customHeight="1" x14ac:dyDescent="0.25">
      <c r="B708" s="5"/>
    </row>
    <row r="709" spans="2:2" ht="14.25" customHeight="1" x14ac:dyDescent="0.25">
      <c r="B709" s="5"/>
    </row>
    <row r="710" spans="2:2" ht="14.25" customHeight="1" x14ac:dyDescent="0.25">
      <c r="B710" s="5"/>
    </row>
    <row r="711" spans="2:2" ht="14.25" customHeight="1" x14ac:dyDescent="0.25">
      <c r="B711" s="5"/>
    </row>
    <row r="712" spans="2:2" ht="14.25" customHeight="1" x14ac:dyDescent="0.25">
      <c r="B712" s="5"/>
    </row>
    <row r="713" spans="2:2" ht="14.25" customHeight="1" x14ac:dyDescent="0.25">
      <c r="B713" s="5"/>
    </row>
    <row r="714" spans="2:2" ht="14.25" customHeight="1" x14ac:dyDescent="0.25">
      <c r="B714" s="5"/>
    </row>
    <row r="715" spans="2:2" ht="14.25" customHeight="1" x14ac:dyDescent="0.25">
      <c r="B715" s="5"/>
    </row>
    <row r="716" spans="2:2" ht="14.25" customHeight="1" x14ac:dyDescent="0.25">
      <c r="B716" s="5"/>
    </row>
    <row r="717" spans="2:2" ht="14.25" customHeight="1" x14ac:dyDescent="0.25">
      <c r="B717" s="5"/>
    </row>
    <row r="718" spans="2:2" ht="14.25" customHeight="1" x14ac:dyDescent="0.25">
      <c r="B718" s="5"/>
    </row>
    <row r="719" spans="2:2" ht="14.25" customHeight="1" x14ac:dyDescent="0.25">
      <c r="B719" s="5"/>
    </row>
    <row r="720" spans="2:2" ht="14.25" customHeight="1" x14ac:dyDescent="0.25">
      <c r="B720" s="5"/>
    </row>
    <row r="721" spans="2:2" ht="14.25" customHeight="1" x14ac:dyDescent="0.25">
      <c r="B721" s="5"/>
    </row>
    <row r="722" spans="2:2" ht="14.25" customHeight="1" x14ac:dyDescent="0.25">
      <c r="B722" s="5"/>
    </row>
    <row r="723" spans="2:2" ht="14.25" customHeight="1" x14ac:dyDescent="0.25">
      <c r="B723" s="5"/>
    </row>
    <row r="724" spans="2:2" ht="14.25" customHeight="1" x14ac:dyDescent="0.25">
      <c r="B724" s="5"/>
    </row>
    <row r="725" spans="2:2" ht="14.25" customHeight="1" x14ac:dyDescent="0.25">
      <c r="B725" s="5"/>
    </row>
    <row r="726" spans="2:2" ht="14.25" customHeight="1" x14ac:dyDescent="0.25">
      <c r="B726" s="5"/>
    </row>
    <row r="727" spans="2:2" ht="14.25" customHeight="1" x14ac:dyDescent="0.25">
      <c r="B727" s="5"/>
    </row>
    <row r="728" spans="2:2" ht="14.25" customHeight="1" x14ac:dyDescent="0.25">
      <c r="B728" s="5"/>
    </row>
    <row r="729" spans="2:2" ht="14.25" customHeight="1" x14ac:dyDescent="0.25">
      <c r="B729" s="5"/>
    </row>
    <row r="730" spans="2:2" ht="14.25" customHeight="1" x14ac:dyDescent="0.25">
      <c r="B730" s="5"/>
    </row>
    <row r="731" spans="2:2" ht="14.25" customHeight="1" x14ac:dyDescent="0.25">
      <c r="B731" s="5"/>
    </row>
    <row r="732" spans="2:2" ht="14.25" customHeight="1" x14ac:dyDescent="0.25">
      <c r="B732" s="5"/>
    </row>
    <row r="733" spans="2:2" ht="14.25" customHeight="1" x14ac:dyDescent="0.25">
      <c r="B733" s="5"/>
    </row>
    <row r="734" spans="2:2" ht="14.25" customHeight="1" x14ac:dyDescent="0.25">
      <c r="B734" s="5"/>
    </row>
    <row r="735" spans="2:2" ht="14.25" customHeight="1" x14ac:dyDescent="0.25">
      <c r="B735" s="5"/>
    </row>
    <row r="736" spans="2:2" ht="14.25" customHeight="1" x14ac:dyDescent="0.25">
      <c r="B736" s="5"/>
    </row>
    <row r="737" spans="2:2" ht="14.25" customHeight="1" x14ac:dyDescent="0.25">
      <c r="B737" s="5"/>
    </row>
    <row r="738" spans="2:2" ht="14.25" customHeight="1" x14ac:dyDescent="0.25">
      <c r="B738" s="5"/>
    </row>
    <row r="739" spans="2:2" ht="14.25" customHeight="1" x14ac:dyDescent="0.25">
      <c r="B739" s="5"/>
    </row>
    <row r="740" spans="2:2" ht="14.25" customHeight="1" x14ac:dyDescent="0.25">
      <c r="B740" s="5"/>
    </row>
    <row r="741" spans="2:2" ht="14.25" customHeight="1" x14ac:dyDescent="0.25">
      <c r="B741" s="5"/>
    </row>
    <row r="742" spans="2:2" ht="14.25" customHeight="1" x14ac:dyDescent="0.25">
      <c r="B742" s="5"/>
    </row>
    <row r="743" spans="2:2" ht="14.25" customHeight="1" x14ac:dyDescent="0.25">
      <c r="B743" s="5"/>
    </row>
    <row r="744" spans="2:2" ht="14.25" customHeight="1" x14ac:dyDescent="0.25">
      <c r="B744" s="5"/>
    </row>
    <row r="745" spans="2:2" ht="14.25" customHeight="1" x14ac:dyDescent="0.25">
      <c r="B745" s="5"/>
    </row>
    <row r="746" spans="2:2" ht="14.25" customHeight="1" x14ac:dyDescent="0.25">
      <c r="B746" s="5"/>
    </row>
    <row r="747" spans="2:2" ht="14.25" customHeight="1" x14ac:dyDescent="0.25">
      <c r="B747" s="5"/>
    </row>
    <row r="748" spans="2:2" ht="14.25" customHeight="1" x14ac:dyDescent="0.25">
      <c r="B748" s="5"/>
    </row>
    <row r="749" spans="2:2" ht="14.25" customHeight="1" x14ac:dyDescent="0.25">
      <c r="B749" s="5"/>
    </row>
    <row r="750" spans="2:2" ht="14.25" customHeight="1" x14ac:dyDescent="0.25">
      <c r="B750" s="5"/>
    </row>
    <row r="751" spans="2:2" ht="14.25" customHeight="1" x14ac:dyDescent="0.25">
      <c r="B751" s="5"/>
    </row>
    <row r="752" spans="2:2" ht="14.25" customHeight="1" x14ac:dyDescent="0.25">
      <c r="B752" s="5"/>
    </row>
    <row r="753" spans="2:2" ht="14.25" customHeight="1" x14ac:dyDescent="0.25">
      <c r="B753" s="5"/>
    </row>
    <row r="754" spans="2:2" ht="14.25" customHeight="1" x14ac:dyDescent="0.25">
      <c r="B754" s="5"/>
    </row>
    <row r="755" spans="2:2" ht="14.25" customHeight="1" x14ac:dyDescent="0.25">
      <c r="B755" s="5"/>
    </row>
    <row r="756" spans="2:2" ht="14.25" customHeight="1" x14ac:dyDescent="0.25">
      <c r="B756" s="5"/>
    </row>
    <row r="757" spans="2:2" ht="14.25" customHeight="1" x14ac:dyDescent="0.25">
      <c r="B757" s="5"/>
    </row>
    <row r="758" spans="2:2" ht="14.25" customHeight="1" x14ac:dyDescent="0.25">
      <c r="B758" s="5"/>
    </row>
    <row r="759" spans="2:2" ht="14.25" customHeight="1" x14ac:dyDescent="0.25">
      <c r="B759" s="5"/>
    </row>
    <row r="760" spans="2:2" ht="14.25" customHeight="1" x14ac:dyDescent="0.25">
      <c r="B760" s="5"/>
    </row>
    <row r="761" spans="2:2" ht="14.25" customHeight="1" x14ac:dyDescent="0.25">
      <c r="B761" s="5"/>
    </row>
    <row r="762" spans="2:2" ht="14.25" customHeight="1" x14ac:dyDescent="0.25">
      <c r="B762" s="5"/>
    </row>
    <row r="763" spans="2:2" ht="14.25" customHeight="1" x14ac:dyDescent="0.25">
      <c r="B763" s="5"/>
    </row>
    <row r="764" spans="2:2" ht="14.25" customHeight="1" x14ac:dyDescent="0.25">
      <c r="B764" s="5"/>
    </row>
    <row r="765" spans="2:2" ht="14.25" customHeight="1" x14ac:dyDescent="0.25">
      <c r="B765" s="5"/>
    </row>
    <row r="766" spans="2:2" ht="14.25" customHeight="1" x14ac:dyDescent="0.25">
      <c r="B766" s="5"/>
    </row>
    <row r="767" spans="2:2" ht="14.25" customHeight="1" x14ac:dyDescent="0.25">
      <c r="B767" s="5"/>
    </row>
    <row r="768" spans="2:2" ht="14.25" customHeight="1" x14ac:dyDescent="0.25">
      <c r="B768" s="5"/>
    </row>
    <row r="769" spans="2:2" ht="14.25" customHeight="1" x14ac:dyDescent="0.25">
      <c r="B769" s="5"/>
    </row>
    <row r="770" spans="2:2" ht="14.25" customHeight="1" x14ac:dyDescent="0.25">
      <c r="B770" s="5"/>
    </row>
    <row r="771" spans="2:2" ht="14.25" customHeight="1" x14ac:dyDescent="0.25">
      <c r="B771" s="5"/>
    </row>
    <row r="772" spans="2:2" ht="14.25" customHeight="1" x14ac:dyDescent="0.25">
      <c r="B772" s="5"/>
    </row>
    <row r="773" spans="2:2" ht="14.25" customHeight="1" x14ac:dyDescent="0.25">
      <c r="B773" s="5"/>
    </row>
    <row r="774" spans="2:2" ht="14.25" customHeight="1" x14ac:dyDescent="0.25">
      <c r="B774" s="5"/>
    </row>
    <row r="775" spans="2:2" ht="14.25" customHeight="1" x14ac:dyDescent="0.25">
      <c r="B775" s="5"/>
    </row>
    <row r="776" spans="2:2" ht="14.25" customHeight="1" x14ac:dyDescent="0.25">
      <c r="B776" s="5"/>
    </row>
    <row r="777" spans="2:2" ht="14.25" customHeight="1" x14ac:dyDescent="0.25">
      <c r="B777" s="5"/>
    </row>
    <row r="778" spans="2:2" ht="14.25" customHeight="1" x14ac:dyDescent="0.25">
      <c r="B778" s="5"/>
    </row>
    <row r="779" spans="2:2" ht="14.25" customHeight="1" x14ac:dyDescent="0.25">
      <c r="B779" s="5"/>
    </row>
    <row r="780" spans="2:2" ht="14.25" customHeight="1" x14ac:dyDescent="0.25">
      <c r="B780" s="5"/>
    </row>
    <row r="781" spans="2:2" ht="14.25" customHeight="1" x14ac:dyDescent="0.25">
      <c r="B781" s="5"/>
    </row>
    <row r="782" spans="2:2" ht="14.25" customHeight="1" x14ac:dyDescent="0.25">
      <c r="B782" s="5"/>
    </row>
    <row r="783" spans="2:2" ht="14.25" customHeight="1" x14ac:dyDescent="0.25">
      <c r="B783" s="5"/>
    </row>
    <row r="784" spans="2:2" ht="14.25" customHeight="1" x14ac:dyDescent="0.25">
      <c r="B784" s="5"/>
    </row>
    <row r="785" spans="2:2" ht="14.25" customHeight="1" x14ac:dyDescent="0.25">
      <c r="B785" s="5"/>
    </row>
    <row r="786" spans="2:2" ht="14.25" customHeight="1" x14ac:dyDescent="0.25">
      <c r="B786" s="5"/>
    </row>
    <row r="787" spans="2:2" ht="14.25" customHeight="1" x14ac:dyDescent="0.25">
      <c r="B787" s="5"/>
    </row>
    <row r="788" spans="2:2" ht="14.25" customHeight="1" x14ac:dyDescent="0.25">
      <c r="B788" s="5"/>
    </row>
    <row r="789" spans="2:2" ht="14.25" customHeight="1" x14ac:dyDescent="0.25">
      <c r="B789" s="5"/>
    </row>
    <row r="790" spans="2:2" ht="14.25" customHeight="1" x14ac:dyDescent="0.25">
      <c r="B790" s="5"/>
    </row>
    <row r="791" spans="2:2" ht="14.25" customHeight="1" x14ac:dyDescent="0.25">
      <c r="B791" s="5"/>
    </row>
    <row r="792" spans="2:2" ht="14.25" customHeight="1" x14ac:dyDescent="0.25">
      <c r="B792" s="5"/>
    </row>
    <row r="793" spans="2:2" ht="14.25" customHeight="1" x14ac:dyDescent="0.25">
      <c r="B793" s="5"/>
    </row>
    <row r="794" spans="2:2" ht="14.25" customHeight="1" x14ac:dyDescent="0.25">
      <c r="B794" s="5"/>
    </row>
    <row r="795" spans="2:2" ht="14.25" customHeight="1" x14ac:dyDescent="0.25">
      <c r="B795" s="5"/>
    </row>
    <row r="796" spans="2:2" ht="14.25" customHeight="1" x14ac:dyDescent="0.25">
      <c r="B796" s="5"/>
    </row>
    <row r="797" spans="2:2" ht="14.25" customHeight="1" x14ac:dyDescent="0.25">
      <c r="B797" s="5"/>
    </row>
    <row r="798" spans="2:2" ht="14.25" customHeight="1" x14ac:dyDescent="0.25">
      <c r="B798" s="5"/>
    </row>
    <row r="799" spans="2:2" ht="14.25" customHeight="1" x14ac:dyDescent="0.25">
      <c r="B799" s="5"/>
    </row>
    <row r="800" spans="2:2" ht="14.25" customHeight="1" x14ac:dyDescent="0.25">
      <c r="B800" s="5"/>
    </row>
    <row r="801" spans="2:2" ht="14.25" customHeight="1" x14ac:dyDescent="0.25">
      <c r="B801" s="5"/>
    </row>
    <row r="802" spans="2:2" ht="14.25" customHeight="1" x14ac:dyDescent="0.25">
      <c r="B802" s="5"/>
    </row>
    <row r="803" spans="2:2" ht="14.25" customHeight="1" x14ac:dyDescent="0.25">
      <c r="B803" s="5"/>
    </row>
    <row r="804" spans="2:2" ht="14.25" customHeight="1" x14ac:dyDescent="0.25">
      <c r="B804" s="5"/>
    </row>
    <row r="805" spans="2:2" ht="14.25" customHeight="1" x14ac:dyDescent="0.25">
      <c r="B805" s="5"/>
    </row>
    <row r="806" spans="2:2" ht="14.25" customHeight="1" x14ac:dyDescent="0.25">
      <c r="B806" s="5"/>
    </row>
    <row r="807" spans="2:2" ht="14.25" customHeight="1" x14ac:dyDescent="0.25">
      <c r="B807" s="5"/>
    </row>
    <row r="808" spans="2:2" ht="14.25" customHeight="1" x14ac:dyDescent="0.25">
      <c r="B808" s="5"/>
    </row>
    <row r="809" spans="2:2" ht="14.25" customHeight="1" x14ac:dyDescent="0.25">
      <c r="B809" s="5"/>
    </row>
    <row r="810" spans="2:2" ht="14.25" customHeight="1" x14ac:dyDescent="0.25">
      <c r="B810" s="5"/>
    </row>
    <row r="811" spans="2:2" ht="14.25" customHeight="1" x14ac:dyDescent="0.25">
      <c r="B811" s="5"/>
    </row>
    <row r="812" spans="2:2" ht="14.25" customHeight="1" x14ac:dyDescent="0.25">
      <c r="B812" s="5"/>
    </row>
    <row r="813" spans="2:2" ht="14.25" customHeight="1" x14ac:dyDescent="0.25">
      <c r="B813" s="5"/>
    </row>
    <row r="814" spans="2:2" ht="14.25" customHeight="1" x14ac:dyDescent="0.25">
      <c r="B814" s="5"/>
    </row>
    <row r="815" spans="2:2" ht="14.25" customHeight="1" x14ac:dyDescent="0.25">
      <c r="B815" s="5"/>
    </row>
    <row r="816" spans="2:2" ht="14.25" customHeight="1" x14ac:dyDescent="0.25">
      <c r="B816" s="5"/>
    </row>
    <row r="817" spans="2:2" ht="14.25" customHeight="1" x14ac:dyDescent="0.25">
      <c r="B817" s="5"/>
    </row>
    <row r="818" spans="2:2" ht="14.25" customHeight="1" x14ac:dyDescent="0.25">
      <c r="B818" s="5"/>
    </row>
    <row r="819" spans="2:2" ht="14.25" customHeight="1" x14ac:dyDescent="0.25">
      <c r="B819" s="5"/>
    </row>
    <row r="820" spans="2:2" ht="14.25" customHeight="1" x14ac:dyDescent="0.25">
      <c r="B820" s="5"/>
    </row>
    <row r="821" spans="2:2" ht="14.25" customHeight="1" x14ac:dyDescent="0.25">
      <c r="B821" s="5"/>
    </row>
    <row r="822" spans="2:2" ht="14.25" customHeight="1" x14ac:dyDescent="0.25">
      <c r="B822" s="5"/>
    </row>
    <row r="823" spans="2:2" ht="14.25" customHeight="1" x14ac:dyDescent="0.25">
      <c r="B823" s="5"/>
    </row>
    <row r="824" spans="2:2" ht="14.25" customHeight="1" x14ac:dyDescent="0.25">
      <c r="B824" s="5"/>
    </row>
    <row r="825" spans="2:2" ht="14.25" customHeight="1" x14ac:dyDescent="0.25">
      <c r="B825" s="5"/>
    </row>
    <row r="826" spans="2:2" ht="14.25" customHeight="1" x14ac:dyDescent="0.25">
      <c r="B826" s="5"/>
    </row>
    <row r="827" spans="2:2" ht="14.25" customHeight="1" x14ac:dyDescent="0.25">
      <c r="B827" s="5"/>
    </row>
    <row r="828" spans="2:2" ht="14.25" customHeight="1" x14ac:dyDescent="0.25">
      <c r="B828" s="5"/>
    </row>
    <row r="829" spans="2:2" ht="14.25" customHeight="1" x14ac:dyDescent="0.25">
      <c r="B829" s="5"/>
    </row>
    <row r="830" spans="2:2" ht="14.25" customHeight="1" x14ac:dyDescent="0.25">
      <c r="B830" s="5"/>
    </row>
    <row r="831" spans="2:2" ht="14.25" customHeight="1" x14ac:dyDescent="0.25">
      <c r="B831" s="5"/>
    </row>
    <row r="832" spans="2:2" ht="14.25" customHeight="1" x14ac:dyDescent="0.25">
      <c r="B832" s="5"/>
    </row>
    <row r="833" spans="2:2" ht="14.25" customHeight="1" x14ac:dyDescent="0.25">
      <c r="B833" s="5"/>
    </row>
    <row r="834" spans="2:2" ht="14.25" customHeight="1" x14ac:dyDescent="0.25">
      <c r="B834" s="5"/>
    </row>
    <row r="835" spans="2:2" ht="14.25" customHeight="1" x14ac:dyDescent="0.25">
      <c r="B835" s="5"/>
    </row>
    <row r="836" spans="2:2" ht="14.25" customHeight="1" x14ac:dyDescent="0.25">
      <c r="B836" s="5"/>
    </row>
    <row r="837" spans="2:2" ht="14.25" customHeight="1" x14ac:dyDescent="0.25">
      <c r="B837" s="5"/>
    </row>
    <row r="838" spans="2:2" ht="14.25" customHeight="1" x14ac:dyDescent="0.25">
      <c r="B838" s="5"/>
    </row>
    <row r="839" spans="2:2" ht="14.25" customHeight="1" x14ac:dyDescent="0.25">
      <c r="B839" s="5"/>
    </row>
    <row r="840" spans="2:2" ht="14.25" customHeight="1" x14ac:dyDescent="0.25">
      <c r="B840" s="5"/>
    </row>
    <row r="841" spans="2:2" ht="14.25" customHeight="1" x14ac:dyDescent="0.25">
      <c r="B841" s="5"/>
    </row>
    <row r="842" spans="2:2" ht="14.25" customHeight="1" x14ac:dyDescent="0.25">
      <c r="B842" s="5"/>
    </row>
    <row r="843" spans="2:2" ht="14.25" customHeight="1" x14ac:dyDescent="0.25">
      <c r="B843" s="5"/>
    </row>
    <row r="844" spans="2:2" ht="14.25" customHeight="1" x14ac:dyDescent="0.25">
      <c r="B844" s="5"/>
    </row>
    <row r="845" spans="2:2" ht="14.25" customHeight="1" x14ac:dyDescent="0.25">
      <c r="B845" s="5"/>
    </row>
    <row r="846" spans="2:2" ht="14.25" customHeight="1" x14ac:dyDescent="0.25">
      <c r="B846" s="5"/>
    </row>
    <row r="847" spans="2:2" ht="14.25" customHeight="1" x14ac:dyDescent="0.25">
      <c r="B847" s="5"/>
    </row>
    <row r="848" spans="2:2" ht="14.25" customHeight="1" x14ac:dyDescent="0.25">
      <c r="B848" s="5"/>
    </row>
    <row r="849" spans="2:2" ht="14.25" customHeight="1" x14ac:dyDescent="0.25">
      <c r="B849" s="5"/>
    </row>
    <row r="850" spans="2:2" ht="14.25" customHeight="1" x14ac:dyDescent="0.25">
      <c r="B850" s="5"/>
    </row>
    <row r="851" spans="2:2" ht="14.25" customHeight="1" x14ac:dyDescent="0.25">
      <c r="B851" s="5"/>
    </row>
    <row r="852" spans="2:2" ht="14.25" customHeight="1" x14ac:dyDescent="0.25">
      <c r="B852" s="5"/>
    </row>
    <row r="853" spans="2:2" ht="14.25" customHeight="1" x14ac:dyDescent="0.25">
      <c r="B853" s="5"/>
    </row>
    <row r="854" spans="2:2" ht="14.25" customHeight="1" x14ac:dyDescent="0.25">
      <c r="B854" s="5"/>
    </row>
    <row r="855" spans="2:2" ht="14.25" customHeight="1" x14ac:dyDescent="0.25">
      <c r="B855" s="5"/>
    </row>
    <row r="856" spans="2:2" ht="14.25" customHeight="1" x14ac:dyDescent="0.25">
      <c r="B856" s="5"/>
    </row>
    <row r="857" spans="2:2" ht="14.25" customHeight="1" x14ac:dyDescent="0.25">
      <c r="B857" s="5"/>
    </row>
    <row r="858" spans="2:2" ht="14.25" customHeight="1" x14ac:dyDescent="0.25">
      <c r="B858" s="5"/>
    </row>
    <row r="859" spans="2:2" ht="14.25" customHeight="1" x14ac:dyDescent="0.25">
      <c r="B859" s="5"/>
    </row>
    <row r="860" spans="2:2" ht="14.25" customHeight="1" x14ac:dyDescent="0.25">
      <c r="B860" s="5"/>
    </row>
    <row r="861" spans="2:2" ht="14.25" customHeight="1" x14ac:dyDescent="0.25">
      <c r="B861" s="5"/>
    </row>
    <row r="862" spans="2:2" ht="14.25" customHeight="1" x14ac:dyDescent="0.25">
      <c r="B862" s="5"/>
    </row>
    <row r="863" spans="2:2" ht="14.25" customHeight="1" x14ac:dyDescent="0.25">
      <c r="B863" s="5"/>
    </row>
    <row r="864" spans="2:2" ht="14.25" customHeight="1" x14ac:dyDescent="0.25">
      <c r="B864" s="5"/>
    </row>
    <row r="865" spans="2:2" ht="14.25" customHeight="1" x14ac:dyDescent="0.25">
      <c r="B865" s="5"/>
    </row>
    <row r="866" spans="2:2" ht="14.25" customHeight="1" x14ac:dyDescent="0.25">
      <c r="B866" s="5"/>
    </row>
    <row r="867" spans="2:2" ht="14.25" customHeight="1" x14ac:dyDescent="0.25">
      <c r="B867" s="5"/>
    </row>
    <row r="868" spans="2:2" ht="14.25" customHeight="1" x14ac:dyDescent="0.25">
      <c r="B868" s="5"/>
    </row>
    <row r="869" spans="2:2" ht="14.25" customHeight="1" x14ac:dyDescent="0.25">
      <c r="B869" s="5"/>
    </row>
    <row r="870" spans="2:2" ht="14.25" customHeight="1" x14ac:dyDescent="0.25">
      <c r="B870" s="5"/>
    </row>
    <row r="871" spans="2:2" ht="14.25" customHeight="1" x14ac:dyDescent="0.25">
      <c r="B871" s="5"/>
    </row>
    <row r="872" spans="2:2" ht="14.25" customHeight="1" x14ac:dyDescent="0.25">
      <c r="B872" s="5"/>
    </row>
    <row r="873" spans="2:2" ht="14.25" customHeight="1" x14ac:dyDescent="0.25">
      <c r="B873" s="5"/>
    </row>
    <row r="874" spans="2:2" ht="14.25" customHeight="1" x14ac:dyDescent="0.25">
      <c r="B874" s="5"/>
    </row>
    <row r="875" spans="2:2" ht="14.25" customHeight="1" x14ac:dyDescent="0.25">
      <c r="B875" s="5"/>
    </row>
    <row r="876" spans="2:2" ht="14.25" customHeight="1" x14ac:dyDescent="0.25">
      <c r="B876" s="5"/>
    </row>
    <row r="877" spans="2:2" ht="14.25" customHeight="1" x14ac:dyDescent="0.25">
      <c r="B877" s="5"/>
    </row>
    <row r="878" spans="2:2" ht="14.25" customHeight="1" x14ac:dyDescent="0.25">
      <c r="B878" s="5"/>
    </row>
    <row r="879" spans="2:2" ht="14.25" customHeight="1" x14ac:dyDescent="0.25">
      <c r="B879" s="5"/>
    </row>
    <row r="880" spans="2:2" ht="14.25" customHeight="1" x14ac:dyDescent="0.25">
      <c r="B880" s="5"/>
    </row>
    <row r="881" spans="2:2" ht="14.25" customHeight="1" x14ac:dyDescent="0.25">
      <c r="B881" s="5"/>
    </row>
    <row r="882" spans="2:2" ht="14.25" customHeight="1" x14ac:dyDescent="0.25">
      <c r="B882" s="5"/>
    </row>
    <row r="883" spans="2:2" ht="14.25" customHeight="1" x14ac:dyDescent="0.25">
      <c r="B883" s="5"/>
    </row>
    <row r="884" spans="2:2" ht="14.25" customHeight="1" x14ac:dyDescent="0.25">
      <c r="B884" s="5"/>
    </row>
    <row r="885" spans="2:2" ht="14.25" customHeight="1" x14ac:dyDescent="0.25">
      <c r="B885" s="5"/>
    </row>
    <row r="886" spans="2:2" ht="14.25" customHeight="1" x14ac:dyDescent="0.25">
      <c r="B886" s="5"/>
    </row>
    <row r="887" spans="2:2" ht="14.25" customHeight="1" x14ac:dyDescent="0.25">
      <c r="B887" s="5"/>
    </row>
    <row r="888" spans="2:2" ht="14.25" customHeight="1" x14ac:dyDescent="0.25">
      <c r="B888" s="5"/>
    </row>
    <row r="889" spans="2:2" ht="14.25" customHeight="1" x14ac:dyDescent="0.25">
      <c r="B889" s="5"/>
    </row>
    <row r="890" spans="2:2" ht="14.25" customHeight="1" x14ac:dyDescent="0.25">
      <c r="B890" s="5"/>
    </row>
    <row r="891" spans="2:2" ht="14.25" customHeight="1" x14ac:dyDescent="0.25">
      <c r="B891" s="5"/>
    </row>
    <row r="892" spans="2:2" ht="14.25" customHeight="1" x14ac:dyDescent="0.25">
      <c r="B892" s="5"/>
    </row>
    <row r="893" spans="2:2" ht="14.25" customHeight="1" x14ac:dyDescent="0.25">
      <c r="B893" s="5"/>
    </row>
    <row r="894" spans="2:2" ht="14.25" customHeight="1" x14ac:dyDescent="0.25">
      <c r="B894" s="5"/>
    </row>
    <row r="895" spans="2:2" ht="14.25" customHeight="1" x14ac:dyDescent="0.25">
      <c r="B895" s="5"/>
    </row>
    <row r="896" spans="2:2" ht="14.25" customHeight="1" x14ac:dyDescent="0.25">
      <c r="B896" s="5"/>
    </row>
    <row r="897" spans="2:2" ht="14.25" customHeight="1" x14ac:dyDescent="0.25">
      <c r="B897" s="5"/>
    </row>
    <row r="898" spans="2:2" ht="14.25" customHeight="1" x14ac:dyDescent="0.25">
      <c r="B898" s="5"/>
    </row>
    <row r="899" spans="2:2" ht="14.25" customHeight="1" x14ac:dyDescent="0.25">
      <c r="B899" s="5"/>
    </row>
    <row r="900" spans="2:2" ht="14.25" customHeight="1" x14ac:dyDescent="0.25">
      <c r="B900" s="5"/>
    </row>
    <row r="901" spans="2:2" ht="14.25" customHeight="1" x14ac:dyDescent="0.25">
      <c r="B901" s="5"/>
    </row>
    <row r="902" spans="2:2" ht="14.25" customHeight="1" x14ac:dyDescent="0.25">
      <c r="B902" s="5"/>
    </row>
    <row r="903" spans="2:2" ht="14.25" customHeight="1" x14ac:dyDescent="0.25">
      <c r="B903" s="5"/>
    </row>
    <row r="904" spans="2:2" ht="14.25" customHeight="1" x14ac:dyDescent="0.25">
      <c r="B904" s="5"/>
    </row>
    <row r="905" spans="2:2" ht="14.25" customHeight="1" x14ac:dyDescent="0.25">
      <c r="B905" s="5"/>
    </row>
    <row r="906" spans="2:2" ht="14.25" customHeight="1" x14ac:dyDescent="0.25">
      <c r="B906" s="5"/>
    </row>
    <row r="907" spans="2:2" ht="14.25" customHeight="1" x14ac:dyDescent="0.25">
      <c r="B907" s="5"/>
    </row>
    <row r="908" spans="2:2" ht="14.25" customHeight="1" x14ac:dyDescent="0.25">
      <c r="B908" s="5"/>
    </row>
    <row r="909" spans="2:2" ht="14.25" customHeight="1" x14ac:dyDescent="0.25">
      <c r="B909" s="5"/>
    </row>
    <row r="910" spans="2:2" ht="14.25" customHeight="1" x14ac:dyDescent="0.25">
      <c r="B910" s="5"/>
    </row>
    <row r="911" spans="2:2" ht="14.25" customHeight="1" x14ac:dyDescent="0.25">
      <c r="B911" s="5"/>
    </row>
    <row r="912" spans="2:2" ht="14.25" customHeight="1" x14ac:dyDescent="0.25">
      <c r="B912" s="5"/>
    </row>
    <row r="913" spans="2:2" ht="14.25" customHeight="1" x14ac:dyDescent="0.25">
      <c r="B913" s="5"/>
    </row>
    <row r="914" spans="2:2" ht="14.25" customHeight="1" x14ac:dyDescent="0.25">
      <c r="B914" s="5"/>
    </row>
    <row r="915" spans="2:2" ht="14.25" customHeight="1" x14ac:dyDescent="0.25">
      <c r="B915" s="5"/>
    </row>
    <row r="916" spans="2:2" ht="14.25" customHeight="1" x14ac:dyDescent="0.25">
      <c r="B916" s="5"/>
    </row>
    <row r="917" spans="2:2" ht="14.25" customHeight="1" x14ac:dyDescent="0.25">
      <c r="B917" s="5"/>
    </row>
    <row r="918" spans="2:2" ht="14.25" customHeight="1" x14ac:dyDescent="0.25">
      <c r="B918" s="5"/>
    </row>
    <row r="919" spans="2:2" ht="14.25" customHeight="1" x14ac:dyDescent="0.25">
      <c r="B919" s="5"/>
    </row>
    <row r="920" spans="2:2" ht="14.25" customHeight="1" x14ac:dyDescent="0.25">
      <c r="B920" s="5"/>
    </row>
    <row r="921" spans="2:2" ht="14.25" customHeight="1" x14ac:dyDescent="0.25">
      <c r="B921" s="5"/>
    </row>
    <row r="922" spans="2:2" ht="14.25" customHeight="1" x14ac:dyDescent="0.25">
      <c r="B922" s="5"/>
    </row>
    <row r="923" spans="2:2" ht="14.25" customHeight="1" x14ac:dyDescent="0.25">
      <c r="B923" s="5"/>
    </row>
    <row r="924" spans="2:2" ht="14.25" customHeight="1" x14ac:dyDescent="0.25">
      <c r="B924" s="5"/>
    </row>
    <row r="925" spans="2:2" ht="14.25" customHeight="1" x14ac:dyDescent="0.25">
      <c r="B925" s="5"/>
    </row>
    <row r="926" spans="2:2" ht="14.25" customHeight="1" x14ac:dyDescent="0.25">
      <c r="B926" s="5"/>
    </row>
    <row r="927" spans="2:2" ht="14.25" customHeight="1" x14ac:dyDescent="0.25">
      <c r="B927" s="5"/>
    </row>
    <row r="928" spans="2:2" ht="14.25" customHeight="1" x14ac:dyDescent="0.25">
      <c r="B928" s="5"/>
    </row>
    <row r="929" spans="2:2" ht="14.25" customHeight="1" x14ac:dyDescent="0.25">
      <c r="B929" s="5"/>
    </row>
    <row r="930" spans="2:2" ht="14.25" customHeight="1" x14ac:dyDescent="0.25">
      <c r="B930" s="5"/>
    </row>
    <row r="931" spans="2:2" ht="14.25" customHeight="1" x14ac:dyDescent="0.25">
      <c r="B931" s="5"/>
    </row>
    <row r="932" spans="2:2" ht="14.25" customHeight="1" x14ac:dyDescent="0.25">
      <c r="B932" s="5"/>
    </row>
    <row r="933" spans="2:2" ht="14.25" customHeight="1" x14ac:dyDescent="0.25">
      <c r="B933" s="5"/>
    </row>
    <row r="934" spans="2:2" ht="14.25" customHeight="1" x14ac:dyDescent="0.25">
      <c r="B934" s="5"/>
    </row>
    <row r="935" spans="2:2" ht="14.25" customHeight="1" x14ac:dyDescent="0.25">
      <c r="B935" s="5"/>
    </row>
    <row r="936" spans="2:2" ht="14.25" customHeight="1" x14ac:dyDescent="0.25">
      <c r="B936" s="5"/>
    </row>
    <row r="937" spans="2:2" ht="14.25" customHeight="1" x14ac:dyDescent="0.25">
      <c r="B937" s="5"/>
    </row>
    <row r="938" spans="2:2" ht="14.25" customHeight="1" x14ac:dyDescent="0.25">
      <c r="B938" s="5"/>
    </row>
    <row r="939" spans="2:2" ht="14.25" customHeight="1" x14ac:dyDescent="0.25">
      <c r="B939" s="5"/>
    </row>
    <row r="940" spans="2:2" ht="14.25" customHeight="1" x14ac:dyDescent="0.25">
      <c r="B940" s="5"/>
    </row>
    <row r="941" spans="2:2" ht="14.25" customHeight="1" x14ac:dyDescent="0.25">
      <c r="B941" s="5"/>
    </row>
    <row r="942" spans="2:2" ht="14.25" customHeight="1" x14ac:dyDescent="0.25">
      <c r="B942" s="5"/>
    </row>
    <row r="943" spans="2:2" ht="14.25" customHeight="1" x14ac:dyDescent="0.25">
      <c r="B943" s="5"/>
    </row>
    <row r="944" spans="2:2" ht="14.25" customHeight="1" x14ac:dyDescent="0.25">
      <c r="B944" s="5"/>
    </row>
    <row r="945" spans="2:2" ht="14.25" customHeight="1" x14ac:dyDescent="0.25">
      <c r="B945" s="5"/>
    </row>
    <row r="946" spans="2:2" ht="14.25" customHeight="1" x14ac:dyDescent="0.25">
      <c r="B946" s="5"/>
    </row>
    <row r="947" spans="2:2" ht="14.25" customHeight="1" x14ac:dyDescent="0.25">
      <c r="B947" s="5"/>
    </row>
    <row r="948" spans="2:2" ht="14.25" customHeight="1" x14ac:dyDescent="0.25">
      <c r="B948" s="5"/>
    </row>
    <row r="949" spans="2:2" ht="14.25" customHeight="1" x14ac:dyDescent="0.25">
      <c r="B949" s="5"/>
    </row>
    <row r="950" spans="2:2" ht="14.25" customHeight="1" x14ac:dyDescent="0.25">
      <c r="B950" s="5"/>
    </row>
    <row r="951" spans="2:2" ht="14.25" customHeight="1" x14ac:dyDescent="0.25">
      <c r="B951" s="5"/>
    </row>
    <row r="952" spans="2:2" ht="14.25" customHeight="1" x14ac:dyDescent="0.25">
      <c r="B952" s="5"/>
    </row>
    <row r="953" spans="2:2" ht="14.25" customHeight="1" x14ac:dyDescent="0.25">
      <c r="B953" s="5"/>
    </row>
    <row r="954" spans="2:2" ht="14.25" customHeight="1" x14ac:dyDescent="0.25">
      <c r="B954" s="5"/>
    </row>
    <row r="955" spans="2:2" ht="14.25" customHeight="1" x14ac:dyDescent="0.25">
      <c r="B955" s="5"/>
    </row>
    <row r="956" spans="2:2" ht="14.25" customHeight="1" x14ac:dyDescent="0.25">
      <c r="B956" s="5"/>
    </row>
    <row r="957" spans="2:2" ht="14.25" customHeight="1" x14ac:dyDescent="0.25">
      <c r="B957" s="5"/>
    </row>
    <row r="958" spans="2:2" ht="14.25" customHeight="1" x14ac:dyDescent="0.25">
      <c r="B958" s="5"/>
    </row>
    <row r="959" spans="2:2" ht="14.25" customHeight="1" x14ac:dyDescent="0.25">
      <c r="B959" s="5"/>
    </row>
    <row r="960" spans="2:2" ht="14.25" customHeight="1" x14ac:dyDescent="0.25">
      <c r="B960" s="5"/>
    </row>
    <row r="961" spans="2:2" ht="14.25" customHeight="1" x14ac:dyDescent="0.25">
      <c r="B961" s="5"/>
    </row>
    <row r="962" spans="2:2" ht="14.25" customHeight="1" x14ac:dyDescent="0.25">
      <c r="B962" s="5"/>
    </row>
    <row r="963" spans="2:2" ht="14.25" customHeight="1" x14ac:dyDescent="0.25">
      <c r="B963" s="5"/>
    </row>
    <row r="964" spans="2:2" ht="14.25" customHeight="1" x14ac:dyDescent="0.25">
      <c r="B964" s="5"/>
    </row>
    <row r="965" spans="2:2" ht="14.25" customHeight="1" x14ac:dyDescent="0.25">
      <c r="B965" s="5"/>
    </row>
    <row r="966" spans="2:2" ht="14.25" customHeight="1" x14ac:dyDescent="0.25">
      <c r="B966" s="5"/>
    </row>
    <row r="967" spans="2:2" ht="14.25" customHeight="1" x14ac:dyDescent="0.25">
      <c r="B967" s="5"/>
    </row>
    <row r="968" spans="2:2" ht="14.25" customHeight="1" x14ac:dyDescent="0.25">
      <c r="B968" s="5"/>
    </row>
    <row r="969" spans="2:2" ht="14.25" customHeight="1" x14ac:dyDescent="0.25">
      <c r="B969" s="5"/>
    </row>
    <row r="970" spans="2:2" ht="14.25" customHeight="1" x14ac:dyDescent="0.25">
      <c r="B970" s="5"/>
    </row>
    <row r="971" spans="2:2" ht="14.25" customHeight="1" x14ac:dyDescent="0.25">
      <c r="B971" s="5"/>
    </row>
    <row r="972" spans="2:2" ht="14.25" customHeight="1" x14ac:dyDescent="0.25">
      <c r="B972" s="5"/>
    </row>
    <row r="973" spans="2:2" ht="14.25" customHeight="1" x14ac:dyDescent="0.25">
      <c r="B973" s="5"/>
    </row>
    <row r="974" spans="2:2" ht="14.25" customHeight="1" x14ac:dyDescent="0.25">
      <c r="B974" s="5"/>
    </row>
    <row r="975" spans="2:2" ht="14.25" customHeight="1" x14ac:dyDescent="0.25">
      <c r="B975" s="5"/>
    </row>
    <row r="976" spans="2:2" ht="14.25" customHeight="1" x14ac:dyDescent="0.25">
      <c r="B976" s="5"/>
    </row>
    <row r="977" spans="2:2" ht="14.25" customHeight="1" x14ac:dyDescent="0.25">
      <c r="B977" s="5"/>
    </row>
    <row r="978" spans="2:2" ht="14.25" customHeight="1" x14ac:dyDescent="0.25">
      <c r="B978" s="5"/>
    </row>
    <row r="979" spans="2:2" ht="14.25" customHeight="1" x14ac:dyDescent="0.25">
      <c r="B979" s="5"/>
    </row>
    <row r="980" spans="2:2" ht="14.25" customHeight="1" x14ac:dyDescent="0.25">
      <c r="B980" s="5"/>
    </row>
    <row r="981" spans="2:2" ht="14.25" customHeight="1" x14ac:dyDescent="0.25">
      <c r="B981" s="5"/>
    </row>
    <row r="982" spans="2:2" ht="14.25" customHeight="1" x14ac:dyDescent="0.25">
      <c r="B982" s="5"/>
    </row>
    <row r="983" spans="2:2" ht="14.25" customHeight="1" x14ac:dyDescent="0.25">
      <c r="B983" s="5"/>
    </row>
    <row r="984" spans="2:2" ht="14.25" customHeight="1" x14ac:dyDescent="0.25">
      <c r="B984" s="5"/>
    </row>
    <row r="985" spans="2:2" ht="14.25" customHeight="1" x14ac:dyDescent="0.25">
      <c r="B985" s="5"/>
    </row>
    <row r="986" spans="2:2" ht="14.25" customHeight="1" x14ac:dyDescent="0.25">
      <c r="B986" s="5"/>
    </row>
    <row r="987" spans="2:2" ht="14.25" customHeight="1" x14ac:dyDescent="0.25">
      <c r="B987" s="5"/>
    </row>
    <row r="988" spans="2:2" ht="14.25" customHeight="1" x14ac:dyDescent="0.25">
      <c r="B988" s="5"/>
    </row>
    <row r="989" spans="2:2" ht="14.25" customHeight="1" x14ac:dyDescent="0.25">
      <c r="B989" s="5"/>
    </row>
    <row r="990" spans="2:2" ht="14.25" customHeight="1" x14ac:dyDescent="0.25">
      <c r="B990" s="5"/>
    </row>
    <row r="991" spans="2:2" ht="14.25" customHeight="1" x14ac:dyDescent="0.25">
      <c r="B991" s="5"/>
    </row>
    <row r="992" spans="2:2" ht="14.25" customHeight="1" x14ac:dyDescent="0.25">
      <c r="B992" s="5"/>
    </row>
    <row r="993" spans="2:2" ht="14.25" customHeight="1" x14ac:dyDescent="0.25">
      <c r="B993" s="5"/>
    </row>
    <row r="994" spans="2:2" ht="14.25" customHeight="1" x14ac:dyDescent="0.25">
      <c r="B994" s="5"/>
    </row>
    <row r="995" spans="2:2" ht="14.25" customHeight="1" x14ac:dyDescent="0.25">
      <c r="B995" s="5"/>
    </row>
    <row r="996" spans="2:2" ht="14.25" customHeight="1" x14ac:dyDescent="0.25">
      <c r="B996" s="5"/>
    </row>
    <row r="997" spans="2:2" ht="14.25" customHeight="1" x14ac:dyDescent="0.25">
      <c r="B997" s="5"/>
    </row>
    <row r="998" spans="2:2" ht="14.25" customHeight="1" x14ac:dyDescent="0.25">
      <c r="B998" s="5"/>
    </row>
    <row r="999" spans="2:2" ht="14.25" customHeight="1" x14ac:dyDescent="0.25">
      <c r="B999" s="5"/>
    </row>
    <row r="1000" spans="2:2" ht="14.25" customHeight="1" x14ac:dyDescent="0.25">
      <c r="B1000" s="5"/>
    </row>
  </sheetData>
  <mergeCells count="8">
    <mergeCell ref="B14:H14"/>
    <mergeCell ref="B15:H15"/>
    <mergeCell ref="B16:H16"/>
    <mergeCell ref="A1:H1"/>
    <mergeCell ref="A2:H2"/>
    <mergeCell ref="A4:H4"/>
    <mergeCell ref="A12:H12"/>
    <mergeCell ref="B13:H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E1038"/>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8.85546875" customWidth="1"/>
    <col min="2" max="2" width="32.7109375" customWidth="1"/>
    <col min="3" max="3" width="55" customWidth="1"/>
    <col min="4" max="4" width="76.5703125" customWidth="1"/>
    <col min="5" max="5" width="67.28515625" customWidth="1"/>
    <col min="6" max="25" width="9" customWidth="1"/>
  </cols>
  <sheetData>
    <row r="1" spans="1:5" ht="14.25" customHeight="1" x14ac:dyDescent="0.25">
      <c r="A1" s="1" t="s">
        <v>1</v>
      </c>
      <c r="B1" s="2" t="s">
        <v>3</v>
      </c>
      <c r="C1" s="3" t="s">
        <v>4</v>
      </c>
      <c r="D1" s="3" t="s">
        <v>5</v>
      </c>
      <c r="E1" s="3" t="s">
        <v>6</v>
      </c>
    </row>
    <row r="2" spans="1:5" ht="14.25" customHeight="1" x14ac:dyDescent="0.25">
      <c r="A2" s="256">
        <v>1</v>
      </c>
      <c r="B2" s="256" t="s">
        <v>7</v>
      </c>
      <c r="C2" s="4" t="s">
        <v>9</v>
      </c>
      <c r="D2" s="4" t="s">
        <v>10</v>
      </c>
      <c r="E2" s="4" t="s">
        <v>11</v>
      </c>
    </row>
    <row r="3" spans="1:5" ht="14.25" customHeight="1" x14ac:dyDescent="0.25">
      <c r="A3" s="255"/>
      <c r="B3" s="255"/>
      <c r="C3" s="4" t="s">
        <v>12</v>
      </c>
      <c r="D3" s="4" t="s">
        <v>13</v>
      </c>
      <c r="E3" s="4" t="s">
        <v>14</v>
      </c>
    </row>
    <row r="4" spans="1:5" ht="14.25" customHeight="1" x14ac:dyDescent="0.25">
      <c r="A4" s="255"/>
      <c r="B4" s="255"/>
      <c r="C4" s="4" t="s">
        <v>16</v>
      </c>
      <c r="D4" s="4" t="s">
        <v>17</v>
      </c>
      <c r="E4" s="4" t="s">
        <v>18</v>
      </c>
    </row>
    <row r="5" spans="1:5" ht="14.25" customHeight="1" x14ac:dyDescent="0.25">
      <c r="A5" s="255"/>
      <c r="B5" s="255"/>
      <c r="C5" s="10" t="s">
        <v>19</v>
      </c>
      <c r="D5" s="4" t="s">
        <v>20</v>
      </c>
      <c r="E5" s="4" t="s">
        <v>21</v>
      </c>
    </row>
    <row r="6" spans="1:5" ht="14.25" customHeight="1" x14ac:dyDescent="0.25">
      <c r="A6" s="255"/>
      <c r="B6" s="255"/>
      <c r="C6" s="10" t="s">
        <v>22</v>
      </c>
      <c r="D6" s="4" t="s">
        <v>23</v>
      </c>
      <c r="E6" s="4" t="s">
        <v>24</v>
      </c>
    </row>
    <row r="7" spans="1:5" ht="14.25" customHeight="1" x14ac:dyDescent="0.25">
      <c r="A7" s="255"/>
      <c r="B7" s="255"/>
      <c r="C7" s="10" t="s">
        <v>25</v>
      </c>
      <c r="D7" s="4" t="s">
        <v>26</v>
      </c>
      <c r="E7" s="4" t="s">
        <v>27</v>
      </c>
    </row>
    <row r="8" spans="1:5" ht="14.25" customHeight="1" x14ac:dyDescent="0.25">
      <c r="A8" s="255"/>
      <c r="B8" s="255"/>
      <c r="C8" s="4" t="s">
        <v>29</v>
      </c>
      <c r="D8" s="4" t="s">
        <v>30</v>
      </c>
      <c r="E8" s="4" t="s">
        <v>32</v>
      </c>
    </row>
    <row r="9" spans="1:5" ht="14.25" customHeight="1" x14ac:dyDescent="0.25">
      <c r="A9" s="255"/>
      <c r="B9" s="255"/>
      <c r="C9" s="10" t="s">
        <v>33</v>
      </c>
      <c r="D9" s="4" t="s">
        <v>34</v>
      </c>
      <c r="E9" s="4" t="s">
        <v>35</v>
      </c>
    </row>
    <row r="10" spans="1:5" ht="14.25" customHeight="1" x14ac:dyDescent="0.25">
      <c r="A10" s="255"/>
      <c r="B10" s="255"/>
      <c r="C10" s="4" t="s">
        <v>38</v>
      </c>
      <c r="D10" s="4" t="s">
        <v>40</v>
      </c>
      <c r="E10" s="4" t="s">
        <v>42</v>
      </c>
    </row>
    <row r="11" spans="1:5" ht="14.25" customHeight="1" x14ac:dyDescent="0.25">
      <c r="A11" s="253"/>
      <c r="B11" s="253"/>
      <c r="C11" s="4" t="s">
        <v>47</v>
      </c>
      <c r="D11" s="4" t="s">
        <v>48</v>
      </c>
      <c r="E11" s="4" t="s">
        <v>49</v>
      </c>
    </row>
    <row r="12" spans="1:5" ht="14.25" customHeight="1" x14ac:dyDescent="0.25">
      <c r="A12" s="256">
        <v>2</v>
      </c>
      <c r="B12" s="259" t="s">
        <v>53</v>
      </c>
      <c r="C12" s="4" t="s">
        <v>57</v>
      </c>
      <c r="D12" s="4" t="s">
        <v>58</v>
      </c>
      <c r="E12" s="4" t="s">
        <v>59</v>
      </c>
    </row>
    <row r="13" spans="1:5" ht="14.25" customHeight="1" x14ac:dyDescent="0.25">
      <c r="A13" s="255"/>
      <c r="B13" s="255"/>
      <c r="C13" s="4" t="s">
        <v>61</v>
      </c>
      <c r="D13" s="4" t="s">
        <v>62</v>
      </c>
      <c r="E13" s="4" t="s">
        <v>63</v>
      </c>
    </row>
    <row r="14" spans="1:5" ht="14.25" customHeight="1" x14ac:dyDescent="0.25">
      <c r="A14" s="255"/>
      <c r="B14" s="255"/>
      <c r="C14" s="4" t="s">
        <v>64</v>
      </c>
      <c r="D14" s="4" t="s">
        <v>69</v>
      </c>
      <c r="E14" s="4" t="s">
        <v>71</v>
      </c>
    </row>
    <row r="15" spans="1:5" ht="14.25" customHeight="1" x14ac:dyDescent="0.25">
      <c r="A15" s="255"/>
      <c r="B15" s="255"/>
      <c r="C15" s="4" t="s">
        <v>75</v>
      </c>
      <c r="D15" s="4" t="s">
        <v>77</v>
      </c>
      <c r="E15" s="4" t="s">
        <v>79</v>
      </c>
    </row>
    <row r="16" spans="1:5" ht="14.25" customHeight="1" x14ac:dyDescent="0.25">
      <c r="A16" s="255"/>
      <c r="B16" s="255"/>
      <c r="C16" s="4" t="s">
        <v>82</v>
      </c>
      <c r="D16" s="4" t="s">
        <v>84</v>
      </c>
      <c r="E16" s="4" t="s">
        <v>86</v>
      </c>
    </row>
    <row r="17" spans="1:5" ht="14.25" customHeight="1" x14ac:dyDescent="0.25">
      <c r="A17" s="253"/>
      <c r="B17" s="253"/>
      <c r="C17" s="4" t="s">
        <v>89</v>
      </c>
      <c r="D17" s="4" t="s">
        <v>91</v>
      </c>
      <c r="E17" s="4" t="s">
        <v>92</v>
      </c>
    </row>
    <row r="18" spans="1:5" ht="14.25" customHeight="1" x14ac:dyDescent="0.25">
      <c r="A18" s="256">
        <v>3</v>
      </c>
      <c r="B18" s="259" t="s">
        <v>99</v>
      </c>
      <c r="C18" s="4" t="s">
        <v>100</v>
      </c>
      <c r="D18" s="4" t="s">
        <v>102</v>
      </c>
      <c r="E18" s="4" t="s">
        <v>103</v>
      </c>
    </row>
    <row r="19" spans="1:5" ht="14.25" customHeight="1" x14ac:dyDescent="0.25">
      <c r="A19" s="255"/>
      <c r="B19" s="255"/>
      <c r="C19" s="4" t="s">
        <v>104</v>
      </c>
      <c r="D19" s="4" t="s">
        <v>105</v>
      </c>
      <c r="E19" s="4" t="s">
        <v>106</v>
      </c>
    </row>
    <row r="20" spans="1:5" ht="14.25" customHeight="1" x14ac:dyDescent="0.25">
      <c r="A20" s="255"/>
      <c r="B20" s="255"/>
      <c r="C20" s="4" t="s">
        <v>109</v>
      </c>
      <c r="D20" s="4" t="s">
        <v>111</v>
      </c>
      <c r="E20" s="4" t="s">
        <v>112</v>
      </c>
    </row>
    <row r="21" spans="1:5" ht="14.25" customHeight="1" x14ac:dyDescent="0.25">
      <c r="A21" s="255"/>
      <c r="B21" s="255"/>
      <c r="C21" s="4" t="s">
        <v>113</v>
      </c>
      <c r="D21" s="4" t="s">
        <v>114</v>
      </c>
      <c r="E21" s="4" t="s">
        <v>115</v>
      </c>
    </row>
    <row r="22" spans="1:5" ht="14.25" customHeight="1" x14ac:dyDescent="0.25">
      <c r="A22" s="255"/>
      <c r="B22" s="255"/>
      <c r="C22" s="4" t="s">
        <v>116</v>
      </c>
      <c r="D22" s="4" t="s">
        <v>117</v>
      </c>
      <c r="E22" s="4" t="s">
        <v>118</v>
      </c>
    </row>
    <row r="23" spans="1:5" ht="14.25" customHeight="1" x14ac:dyDescent="0.25">
      <c r="A23" s="255"/>
      <c r="B23" s="255"/>
      <c r="C23" s="4" t="s">
        <v>122</v>
      </c>
      <c r="D23" s="4" t="s">
        <v>123</v>
      </c>
      <c r="E23" s="4" t="s">
        <v>124</v>
      </c>
    </row>
    <row r="24" spans="1:5" ht="14.25" customHeight="1" x14ac:dyDescent="0.25">
      <c r="A24" s="255"/>
      <c r="B24" s="255"/>
      <c r="C24" s="4" t="s">
        <v>125</v>
      </c>
      <c r="D24" s="4" t="s">
        <v>126</v>
      </c>
      <c r="E24" s="4" t="s">
        <v>127</v>
      </c>
    </row>
    <row r="25" spans="1:5" ht="14.25" customHeight="1" x14ac:dyDescent="0.25">
      <c r="A25" s="255"/>
      <c r="B25" s="255"/>
      <c r="C25" s="4" t="s">
        <v>129</v>
      </c>
      <c r="D25" s="4" t="s">
        <v>131</v>
      </c>
      <c r="E25" s="4" t="s">
        <v>134</v>
      </c>
    </row>
    <row r="26" spans="1:5" ht="14.25" customHeight="1" x14ac:dyDescent="0.25">
      <c r="A26" s="255"/>
      <c r="B26" s="255"/>
      <c r="C26" s="4" t="s">
        <v>135</v>
      </c>
      <c r="D26" s="4" t="s">
        <v>136</v>
      </c>
      <c r="E26" s="4" t="s">
        <v>137</v>
      </c>
    </row>
    <row r="27" spans="1:5" ht="14.25" customHeight="1" x14ac:dyDescent="0.25">
      <c r="A27" s="255"/>
      <c r="B27" s="255"/>
      <c r="C27" s="4" t="s">
        <v>139</v>
      </c>
      <c r="D27" s="4" t="s">
        <v>140</v>
      </c>
      <c r="E27" s="4" t="s">
        <v>141</v>
      </c>
    </row>
    <row r="28" spans="1:5" ht="14.25" customHeight="1" x14ac:dyDescent="0.25">
      <c r="A28" s="255"/>
      <c r="B28" s="255"/>
      <c r="C28" s="4" t="s">
        <v>142</v>
      </c>
      <c r="D28" s="4" t="s">
        <v>140</v>
      </c>
      <c r="E28" s="4" t="s">
        <v>143</v>
      </c>
    </row>
    <row r="29" spans="1:5" ht="14.25" customHeight="1" x14ac:dyDescent="0.25">
      <c r="A29" s="255"/>
      <c r="B29" s="255"/>
      <c r="C29" s="4" t="s">
        <v>144</v>
      </c>
      <c r="D29" s="4" t="s">
        <v>145</v>
      </c>
      <c r="E29" s="4" t="s">
        <v>147</v>
      </c>
    </row>
    <row r="30" spans="1:5" ht="14.25" customHeight="1" x14ac:dyDescent="0.25">
      <c r="A30" s="255"/>
      <c r="B30" s="255"/>
      <c r="C30" s="4" t="s">
        <v>150</v>
      </c>
      <c r="D30" s="4" t="s">
        <v>145</v>
      </c>
      <c r="E30" s="4" t="s">
        <v>151</v>
      </c>
    </row>
    <row r="31" spans="1:5" ht="14.25" customHeight="1" x14ac:dyDescent="0.25">
      <c r="A31" s="253"/>
      <c r="B31" s="253"/>
      <c r="C31" s="4" t="s">
        <v>154</v>
      </c>
      <c r="D31" s="4" t="s">
        <v>156</v>
      </c>
      <c r="E31" s="4" t="s">
        <v>157</v>
      </c>
    </row>
    <row r="32" spans="1:5" ht="14.25" customHeight="1" x14ac:dyDescent="0.25">
      <c r="A32" s="256">
        <v>4</v>
      </c>
      <c r="B32" s="259" t="s">
        <v>166</v>
      </c>
      <c r="C32" s="4" t="s">
        <v>174</v>
      </c>
      <c r="D32" s="4" t="s">
        <v>175</v>
      </c>
      <c r="E32" s="4" t="s">
        <v>177</v>
      </c>
    </row>
    <row r="33" spans="1:5" ht="14.25" customHeight="1" x14ac:dyDescent="0.25">
      <c r="A33" s="255"/>
      <c r="B33" s="255"/>
      <c r="C33" s="4" t="s">
        <v>178</v>
      </c>
      <c r="D33" s="4" t="s">
        <v>180</v>
      </c>
      <c r="E33" s="4" t="s">
        <v>181</v>
      </c>
    </row>
    <row r="34" spans="1:5" ht="14.25" customHeight="1" x14ac:dyDescent="0.25">
      <c r="A34" s="253"/>
      <c r="B34" s="253"/>
      <c r="C34" s="4" t="s">
        <v>185</v>
      </c>
      <c r="D34" s="4" t="s">
        <v>186</v>
      </c>
      <c r="E34" s="4" t="s">
        <v>187</v>
      </c>
    </row>
    <row r="35" spans="1:5" ht="14.25" customHeight="1" x14ac:dyDescent="0.25">
      <c r="A35" s="256">
        <v>5</v>
      </c>
      <c r="B35" s="258" t="s">
        <v>193</v>
      </c>
      <c r="C35" s="4" t="s">
        <v>198</v>
      </c>
      <c r="D35" s="4" t="s">
        <v>199</v>
      </c>
      <c r="E35" s="4" t="s">
        <v>200</v>
      </c>
    </row>
    <row r="36" spans="1:5" ht="14.25" customHeight="1" x14ac:dyDescent="0.25">
      <c r="A36" s="255"/>
      <c r="B36" s="255"/>
      <c r="C36" s="4" t="s">
        <v>203</v>
      </c>
      <c r="D36" s="4" t="s">
        <v>204</v>
      </c>
      <c r="E36" s="4" t="s">
        <v>205</v>
      </c>
    </row>
    <row r="37" spans="1:5" ht="14.25" customHeight="1" x14ac:dyDescent="0.25">
      <c r="A37" s="255"/>
      <c r="B37" s="255"/>
      <c r="C37" s="4" t="s">
        <v>207</v>
      </c>
      <c r="D37" s="4" t="s">
        <v>208</v>
      </c>
      <c r="E37" s="4" t="s">
        <v>209</v>
      </c>
    </row>
    <row r="38" spans="1:5" ht="14.25" customHeight="1" x14ac:dyDescent="0.25">
      <c r="A38" s="255"/>
      <c r="B38" s="255"/>
      <c r="C38" s="4" t="s">
        <v>210</v>
      </c>
      <c r="D38" s="4" t="s">
        <v>211</v>
      </c>
      <c r="E38" s="4" t="s">
        <v>212</v>
      </c>
    </row>
    <row r="39" spans="1:5" ht="14.25" customHeight="1" x14ac:dyDescent="0.25">
      <c r="A39" s="255"/>
      <c r="B39" s="255"/>
      <c r="C39" s="4" t="s">
        <v>213</v>
      </c>
      <c r="D39" s="4" t="s">
        <v>215</v>
      </c>
      <c r="E39" s="4" t="s">
        <v>216</v>
      </c>
    </row>
    <row r="40" spans="1:5" ht="14.25" customHeight="1" x14ac:dyDescent="0.25">
      <c r="A40" s="253"/>
      <c r="B40" s="253"/>
      <c r="C40" s="4" t="s">
        <v>217</v>
      </c>
      <c r="D40" s="4" t="s">
        <v>218</v>
      </c>
      <c r="E40" s="4" t="s">
        <v>219</v>
      </c>
    </row>
    <row r="41" spans="1:5" ht="14.25" customHeight="1" x14ac:dyDescent="0.25">
      <c r="A41" s="21">
        <v>6</v>
      </c>
      <c r="B41" s="22" t="s">
        <v>221</v>
      </c>
      <c r="C41" s="4" t="s">
        <v>222</v>
      </c>
      <c r="D41" s="4" t="s">
        <v>223</v>
      </c>
      <c r="E41" s="4" t="s">
        <v>224</v>
      </c>
    </row>
    <row r="42" spans="1:5" ht="14.25" customHeight="1" x14ac:dyDescent="0.25">
      <c r="A42" s="21">
        <v>7</v>
      </c>
      <c r="B42" s="22" t="s">
        <v>225</v>
      </c>
      <c r="C42" s="4" t="s">
        <v>226</v>
      </c>
      <c r="D42" s="4" t="s">
        <v>227</v>
      </c>
      <c r="E42" s="4" t="s">
        <v>228</v>
      </c>
    </row>
    <row r="43" spans="1:5" ht="14.25" customHeight="1" x14ac:dyDescent="0.25">
      <c r="A43" s="21">
        <v>8</v>
      </c>
      <c r="B43" s="23" t="s">
        <v>229</v>
      </c>
      <c r="C43" s="23" t="s">
        <v>230</v>
      </c>
      <c r="D43" s="4" t="s">
        <v>231</v>
      </c>
      <c r="E43" s="4" t="s">
        <v>232</v>
      </c>
    </row>
    <row r="44" spans="1:5" ht="14.25" customHeight="1" x14ac:dyDescent="0.25">
      <c r="A44" s="21">
        <v>9</v>
      </c>
      <c r="B44" s="22" t="s">
        <v>233</v>
      </c>
      <c r="C44" s="4" t="s">
        <v>234</v>
      </c>
      <c r="D44" s="4" t="s">
        <v>235</v>
      </c>
      <c r="E44" s="4" t="s">
        <v>236</v>
      </c>
    </row>
    <row r="45" spans="1:5" ht="14.25" customHeight="1" x14ac:dyDescent="0.25">
      <c r="A45" s="21">
        <v>10</v>
      </c>
      <c r="B45" s="23" t="s">
        <v>237</v>
      </c>
      <c r="C45" s="4" t="s">
        <v>238</v>
      </c>
      <c r="D45" s="4" t="s">
        <v>239</v>
      </c>
      <c r="E45" s="4" t="s">
        <v>240</v>
      </c>
    </row>
    <row r="46" spans="1:5" ht="14.25" customHeight="1" x14ac:dyDescent="0.25">
      <c r="A46" s="256">
        <v>11</v>
      </c>
      <c r="B46" s="258" t="s">
        <v>241</v>
      </c>
      <c r="C46" s="4" t="s">
        <v>242</v>
      </c>
      <c r="D46" s="4" t="s">
        <v>243</v>
      </c>
      <c r="E46" s="4" t="s">
        <v>244</v>
      </c>
    </row>
    <row r="47" spans="1:5" ht="14.25" customHeight="1" x14ac:dyDescent="0.25">
      <c r="A47" s="255"/>
      <c r="B47" s="255"/>
      <c r="C47" s="4" t="s">
        <v>245</v>
      </c>
      <c r="D47" s="4" t="s">
        <v>246</v>
      </c>
      <c r="E47" s="4" t="s">
        <v>247</v>
      </c>
    </row>
    <row r="48" spans="1:5" ht="14.25" customHeight="1" x14ac:dyDescent="0.25">
      <c r="A48" s="253"/>
      <c r="B48" s="253"/>
      <c r="C48" s="4" t="s">
        <v>248</v>
      </c>
      <c r="D48" s="4" t="s">
        <v>249</v>
      </c>
      <c r="E48" s="4" t="s">
        <v>250</v>
      </c>
    </row>
    <row r="49" spans="1:5" ht="14.25" customHeight="1" x14ac:dyDescent="0.25">
      <c r="A49" s="21">
        <v>12</v>
      </c>
      <c r="B49" s="22" t="s">
        <v>251</v>
      </c>
      <c r="C49" s="4" t="s">
        <v>252</v>
      </c>
      <c r="D49" s="4" t="s">
        <v>253</v>
      </c>
      <c r="E49" s="4" t="s">
        <v>254</v>
      </c>
    </row>
    <row r="50" spans="1:5" ht="14.25" customHeight="1" x14ac:dyDescent="0.25">
      <c r="A50" s="256">
        <v>13</v>
      </c>
      <c r="B50" s="258" t="s">
        <v>255</v>
      </c>
      <c r="C50" s="4" t="s">
        <v>256</v>
      </c>
      <c r="D50" s="4" t="s">
        <v>257</v>
      </c>
      <c r="E50" s="4" t="s">
        <v>258</v>
      </c>
    </row>
    <row r="51" spans="1:5" ht="14.25" customHeight="1" x14ac:dyDescent="0.25">
      <c r="A51" s="255"/>
      <c r="B51" s="255"/>
      <c r="C51" s="24" t="s">
        <v>259</v>
      </c>
      <c r="D51" s="25" t="s">
        <v>260</v>
      </c>
      <c r="E51" s="25" t="s">
        <v>261</v>
      </c>
    </row>
    <row r="52" spans="1:5" ht="14.25" customHeight="1" x14ac:dyDescent="0.25">
      <c r="A52" s="255"/>
      <c r="B52" s="255"/>
      <c r="C52" s="24" t="s">
        <v>262</v>
      </c>
      <c r="D52" s="25" t="s">
        <v>264</v>
      </c>
      <c r="E52" s="25" t="s">
        <v>265</v>
      </c>
    </row>
    <row r="53" spans="1:5" ht="14.25" customHeight="1" x14ac:dyDescent="0.25">
      <c r="A53" s="255"/>
      <c r="B53" s="255"/>
      <c r="C53" s="24" t="s">
        <v>266</v>
      </c>
      <c r="D53" s="25" t="s">
        <v>267</v>
      </c>
      <c r="E53" s="25" t="s">
        <v>268</v>
      </c>
    </row>
    <row r="54" spans="1:5" ht="14.25" customHeight="1" x14ac:dyDescent="0.25">
      <c r="A54" s="255"/>
      <c r="B54" s="255"/>
      <c r="C54" s="24" t="s">
        <v>270</v>
      </c>
      <c r="D54" s="25" t="s">
        <v>271</v>
      </c>
      <c r="E54" s="25" t="s">
        <v>272</v>
      </c>
    </row>
    <row r="55" spans="1:5" ht="14.25" customHeight="1" x14ac:dyDescent="0.25">
      <c r="A55" s="255"/>
      <c r="B55" s="255"/>
      <c r="C55" s="24" t="s">
        <v>274</v>
      </c>
      <c r="D55" s="25" t="s">
        <v>275</v>
      </c>
      <c r="E55" s="25" t="s">
        <v>277</v>
      </c>
    </row>
    <row r="56" spans="1:5" ht="14.25" customHeight="1" x14ac:dyDescent="0.25">
      <c r="A56" s="255"/>
      <c r="B56" s="255"/>
      <c r="C56" s="24" t="s">
        <v>279</v>
      </c>
      <c r="D56" s="25" t="s">
        <v>280</v>
      </c>
      <c r="E56" s="25" t="s">
        <v>281</v>
      </c>
    </row>
    <row r="57" spans="1:5" ht="14.25" customHeight="1" x14ac:dyDescent="0.25">
      <c r="A57" s="255"/>
      <c r="B57" s="255"/>
      <c r="C57" s="24" t="s">
        <v>282</v>
      </c>
      <c r="D57" s="25" t="s">
        <v>283</v>
      </c>
      <c r="E57" s="25" t="s">
        <v>285</v>
      </c>
    </row>
    <row r="58" spans="1:5" ht="14.25" customHeight="1" x14ac:dyDescent="0.25">
      <c r="A58" s="255"/>
      <c r="B58" s="255"/>
      <c r="C58" s="24" t="s">
        <v>287</v>
      </c>
      <c r="D58" s="25" t="s">
        <v>288</v>
      </c>
      <c r="E58" s="25" t="s">
        <v>290</v>
      </c>
    </row>
    <row r="59" spans="1:5" ht="14.25" customHeight="1" x14ac:dyDescent="0.25">
      <c r="A59" s="255"/>
      <c r="B59" s="255"/>
      <c r="C59" s="24" t="s">
        <v>291</v>
      </c>
      <c r="D59" s="24" t="s">
        <v>293</v>
      </c>
      <c r="E59" s="25" t="s">
        <v>294</v>
      </c>
    </row>
    <row r="60" spans="1:5" ht="14.25" customHeight="1" x14ac:dyDescent="0.25">
      <c r="A60" s="255"/>
      <c r="B60" s="255"/>
      <c r="C60" s="24" t="s">
        <v>297</v>
      </c>
      <c r="D60" s="24" t="s">
        <v>299</v>
      </c>
      <c r="E60" s="25" t="s">
        <v>300</v>
      </c>
    </row>
    <row r="61" spans="1:5" ht="14.25" customHeight="1" x14ac:dyDescent="0.25">
      <c r="A61" s="255"/>
      <c r="B61" s="255"/>
      <c r="C61" s="24" t="s">
        <v>302</v>
      </c>
      <c r="D61" s="24" t="s">
        <v>303</v>
      </c>
      <c r="E61" s="25" t="s">
        <v>304</v>
      </c>
    </row>
    <row r="62" spans="1:5" ht="14.25" customHeight="1" x14ac:dyDescent="0.25">
      <c r="A62" s="253"/>
      <c r="B62" s="253"/>
      <c r="C62" s="4" t="s">
        <v>306</v>
      </c>
      <c r="D62" s="4" t="s">
        <v>307</v>
      </c>
      <c r="E62" s="4" t="s">
        <v>309</v>
      </c>
    </row>
    <row r="63" spans="1:5" ht="14.25" customHeight="1" x14ac:dyDescent="0.25">
      <c r="A63" s="21">
        <v>14</v>
      </c>
      <c r="B63" s="22" t="s">
        <v>310</v>
      </c>
      <c r="C63" s="4" t="s">
        <v>311</v>
      </c>
      <c r="D63" s="4" t="s">
        <v>313</v>
      </c>
      <c r="E63" s="4" t="s">
        <v>314</v>
      </c>
    </row>
    <row r="64" spans="1:5" ht="14.25" customHeight="1" x14ac:dyDescent="0.25">
      <c r="A64" s="256">
        <v>15</v>
      </c>
      <c r="B64" s="258" t="s">
        <v>316</v>
      </c>
      <c r="C64" s="4" t="s">
        <v>317</v>
      </c>
      <c r="D64" s="4" t="s">
        <v>318</v>
      </c>
      <c r="E64" s="4" t="s">
        <v>319</v>
      </c>
    </row>
    <row r="65" spans="1:5" ht="14.25" customHeight="1" x14ac:dyDescent="0.25">
      <c r="A65" s="255"/>
      <c r="B65" s="255"/>
      <c r="C65" s="4" t="s">
        <v>320</v>
      </c>
      <c r="D65" s="4" t="s">
        <v>321</v>
      </c>
      <c r="E65" s="4" t="s">
        <v>322</v>
      </c>
    </row>
    <row r="66" spans="1:5" ht="14.25" customHeight="1" x14ac:dyDescent="0.25">
      <c r="A66" s="253"/>
      <c r="B66" s="253"/>
      <c r="C66" s="4" t="s">
        <v>323</v>
      </c>
      <c r="D66" s="4" t="s">
        <v>324</v>
      </c>
      <c r="E66" s="4" t="s">
        <v>325</v>
      </c>
    </row>
    <row r="67" spans="1:5" ht="14.25" customHeight="1" x14ac:dyDescent="0.25">
      <c r="A67" s="256">
        <v>16</v>
      </c>
      <c r="B67" s="259" t="s">
        <v>326</v>
      </c>
      <c r="C67" s="4" t="s">
        <v>327</v>
      </c>
      <c r="D67" s="4" t="s">
        <v>328</v>
      </c>
      <c r="E67" s="4" t="s">
        <v>329</v>
      </c>
    </row>
    <row r="68" spans="1:5" ht="14.25" customHeight="1" x14ac:dyDescent="0.25">
      <c r="A68" s="255"/>
      <c r="B68" s="255"/>
      <c r="C68" s="4" t="s">
        <v>327</v>
      </c>
      <c r="D68" s="4" t="s">
        <v>331</v>
      </c>
      <c r="E68" s="4" t="s">
        <v>332</v>
      </c>
    </row>
    <row r="69" spans="1:5" ht="14.25" customHeight="1" x14ac:dyDescent="0.25">
      <c r="A69" s="255"/>
      <c r="B69" s="255"/>
      <c r="C69" s="4" t="s">
        <v>327</v>
      </c>
      <c r="D69" s="4" t="s">
        <v>331</v>
      </c>
      <c r="E69" s="4" t="s">
        <v>333</v>
      </c>
    </row>
    <row r="70" spans="1:5" ht="14.25" customHeight="1" x14ac:dyDescent="0.25">
      <c r="A70" s="255"/>
      <c r="B70" s="255"/>
      <c r="C70" s="4" t="s">
        <v>327</v>
      </c>
      <c r="D70" s="4" t="s">
        <v>331</v>
      </c>
      <c r="E70" s="4" t="s">
        <v>336</v>
      </c>
    </row>
    <row r="71" spans="1:5" ht="14.25" customHeight="1" x14ac:dyDescent="0.25">
      <c r="A71" s="253"/>
      <c r="B71" s="253"/>
      <c r="C71" s="4" t="s">
        <v>327</v>
      </c>
      <c r="D71" s="4" t="s">
        <v>337</v>
      </c>
      <c r="E71" s="4" t="s">
        <v>338</v>
      </c>
    </row>
    <row r="72" spans="1:5" ht="14.25" customHeight="1" x14ac:dyDescent="0.25">
      <c r="A72" s="256">
        <v>17</v>
      </c>
      <c r="B72" s="258" t="s">
        <v>339</v>
      </c>
      <c r="C72" s="4" t="s">
        <v>340</v>
      </c>
      <c r="D72" s="4" t="s">
        <v>341</v>
      </c>
      <c r="E72" s="4" t="s">
        <v>342</v>
      </c>
    </row>
    <row r="73" spans="1:5" ht="14.25" customHeight="1" x14ac:dyDescent="0.25">
      <c r="A73" s="253"/>
      <c r="B73" s="253"/>
      <c r="C73" s="4" t="s">
        <v>343</v>
      </c>
      <c r="D73" s="4" t="s">
        <v>344</v>
      </c>
      <c r="E73" s="4" t="s">
        <v>345</v>
      </c>
    </row>
    <row r="74" spans="1:5" ht="14.25" customHeight="1" x14ac:dyDescent="0.25">
      <c r="A74" s="256">
        <v>18</v>
      </c>
      <c r="B74" s="258" t="s">
        <v>347</v>
      </c>
      <c r="C74" s="4" t="s">
        <v>349</v>
      </c>
      <c r="D74" s="4" t="s">
        <v>350</v>
      </c>
      <c r="E74" s="4" t="s">
        <v>351</v>
      </c>
    </row>
    <row r="75" spans="1:5" ht="14.25" customHeight="1" x14ac:dyDescent="0.25">
      <c r="A75" s="255"/>
      <c r="B75" s="255"/>
      <c r="C75" s="4" t="s">
        <v>354</v>
      </c>
      <c r="D75" s="4" t="s">
        <v>355</v>
      </c>
      <c r="E75" s="4" t="s">
        <v>357</v>
      </c>
    </row>
    <row r="76" spans="1:5" ht="14.25" customHeight="1" x14ac:dyDescent="0.25">
      <c r="A76" s="253"/>
      <c r="B76" s="253"/>
      <c r="C76" s="4" t="s">
        <v>358</v>
      </c>
      <c r="D76" s="4" t="s">
        <v>359</v>
      </c>
      <c r="E76" s="4" t="s">
        <v>360</v>
      </c>
    </row>
    <row r="77" spans="1:5" ht="14.25" customHeight="1" x14ac:dyDescent="0.25">
      <c r="A77" s="256">
        <v>19</v>
      </c>
      <c r="B77" s="258" t="s">
        <v>362</v>
      </c>
      <c r="C77" s="4" t="s">
        <v>363</v>
      </c>
      <c r="D77" s="4" t="s">
        <v>364</v>
      </c>
      <c r="E77" s="4" t="s">
        <v>366</v>
      </c>
    </row>
    <row r="78" spans="1:5" ht="14.25" customHeight="1" x14ac:dyDescent="0.25">
      <c r="A78" s="253"/>
      <c r="B78" s="253"/>
      <c r="C78" s="4" t="s">
        <v>368</v>
      </c>
      <c r="D78" s="4" t="s">
        <v>369</v>
      </c>
      <c r="E78" s="4" t="s">
        <v>370</v>
      </c>
    </row>
    <row r="79" spans="1:5" ht="14.25" customHeight="1" x14ac:dyDescent="0.25">
      <c r="A79" s="21">
        <v>20</v>
      </c>
      <c r="B79" s="22" t="s">
        <v>371</v>
      </c>
      <c r="C79" s="4" t="s">
        <v>372</v>
      </c>
      <c r="D79" s="4" t="s">
        <v>373</v>
      </c>
      <c r="E79" s="4" t="s">
        <v>374</v>
      </c>
    </row>
    <row r="80" spans="1:5" ht="14.25" customHeight="1" x14ac:dyDescent="0.25">
      <c r="A80" s="21">
        <v>21</v>
      </c>
      <c r="B80" s="22" t="s">
        <v>375</v>
      </c>
      <c r="C80" s="4" t="s">
        <v>377</v>
      </c>
      <c r="D80" s="4" t="s">
        <v>379</v>
      </c>
      <c r="E80" s="4" t="s">
        <v>381</v>
      </c>
    </row>
    <row r="81" spans="1:5" ht="14.25" customHeight="1" x14ac:dyDescent="0.25">
      <c r="A81" s="21">
        <v>22</v>
      </c>
      <c r="B81" s="22" t="s">
        <v>384</v>
      </c>
      <c r="C81" s="4" t="s">
        <v>377</v>
      </c>
      <c r="D81" s="4" t="s">
        <v>387</v>
      </c>
      <c r="E81" s="4" t="s">
        <v>388</v>
      </c>
    </row>
    <row r="82" spans="1:5" ht="14.25" customHeight="1" x14ac:dyDescent="0.25">
      <c r="A82" s="21">
        <v>23</v>
      </c>
      <c r="B82" s="22" t="s">
        <v>390</v>
      </c>
      <c r="C82" s="4" t="s">
        <v>377</v>
      </c>
      <c r="D82" s="4" t="s">
        <v>391</v>
      </c>
      <c r="E82" s="4" t="s">
        <v>392</v>
      </c>
    </row>
    <row r="83" spans="1:5" ht="14.25" customHeight="1" x14ac:dyDescent="0.25">
      <c r="A83" s="21">
        <v>24</v>
      </c>
      <c r="B83" s="22" t="s">
        <v>393</v>
      </c>
      <c r="C83" s="4" t="s">
        <v>377</v>
      </c>
      <c r="D83" s="4" t="s">
        <v>396</v>
      </c>
      <c r="E83" s="4" t="s">
        <v>397</v>
      </c>
    </row>
    <row r="84" spans="1:5" ht="14.25" customHeight="1" x14ac:dyDescent="0.25">
      <c r="A84" s="21">
        <v>25</v>
      </c>
      <c r="B84" s="23" t="s">
        <v>398</v>
      </c>
      <c r="C84" s="4" t="s">
        <v>399</v>
      </c>
      <c r="D84" s="4" t="s">
        <v>400</v>
      </c>
      <c r="E84" s="4" t="s">
        <v>401</v>
      </c>
    </row>
    <row r="85" spans="1:5" ht="14.25" customHeight="1" x14ac:dyDescent="0.25">
      <c r="A85" s="21">
        <v>26</v>
      </c>
      <c r="B85" s="22" t="s">
        <v>403</v>
      </c>
      <c r="C85" s="4" t="s">
        <v>404</v>
      </c>
      <c r="D85" s="4" t="s">
        <v>406</v>
      </c>
      <c r="E85" s="4" t="s">
        <v>407</v>
      </c>
    </row>
    <row r="86" spans="1:5" ht="14.25" customHeight="1" x14ac:dyDescent="0.25">
      <c r="A86" s="21">
        <v>27</v>
      </c>
      <c r="B86" s="22" t="s">
        <v>408</v>
      </c>
      <c r="C86" s="4" t="s">
        <v>409</v>
      </c>
      <c r="D86" s="4" t="s">
        <v>410</v>
      </c>
      <c r="E86" s="4" t="s">
        <v>411</v>
      </c>
    </row>
    <row r="87" spans="1:5" ht="14.25" customHeight="1" x14ac:dyDescent="0.25">
      <c r="A87" s="21">
        <v>28</v>
      </c>
      <c r="B87" s="22" t="s">
        <v>412</v>
      </c>
      <c r="C87" s="4" t="s">
        <v>413</v>
      </c>
      <c r="D87" s="4" t="s">
        <v>414</v>
      </c>
      <c r="E87" s="4" t="s">
        <v>416</v>
      </c>
    </row>
    <row r="88" spans="1:5" ht="14.25" customHeight="1" x14ac:dyDescent="0.25">
      <c r="A88" s="256">
        <v>29</v>
      </c>
      <c r="B88" s="258" t="s">
        <v>334</v>
      </c>
      <c r="C88" s="4" t="s">
        <v>419</v>
      </c>
      <c r="D88" s="4" t="s">
        <v>420</v>
      </c>
      <c r="E88" s="4" t="s">
        <v>422</v>
      </c>
    </row>
    <row r="89" spans="1:5" ht="14.25" customHeight="1" x14ac:dyDescent="0.25">
      <c r="A89" s="255"/>
      <c r="B89" s="255"/>
      <c r="C89" s="4" t="s">
        <v>425</v>
      </c>
      <c r="D89" s="4" t="s">
        <v>426</v>
      </c>
      <c r="E89" s="4" t="s">
        <v>427</v>
      </c>
    </row>
    <row r="90" spans="1:5" ht="14.25" customHeight="1" x14ac:dyDescent="0.25">
      <c r="A90" s="253"/>
      <c r="B90" s="253"/>
      <c r="C90" s="26" t="s">
        <v>430</v>
      </c>
      <c r="D90" s="26" t="s">
        <v>434</v>
      </c>
      <c r="E90" s="26" t="s">
        <v>435</v>
      </c>
    </row>
    <row r="91" spans="1:5" ht="31.5" customHeight="1" x14ac:dyDescent="0.25">
      <c r="A91" s="256">
        <v>30</v>
      </c>
      <c r="B91" s="258" t="s">
        <v>436</v>
      </c>
      <c r="C91" s="24" t="s">
        <v>437</v>
      </c>
      <c r="D91" s="25" t="s">
        <v>438</v>
      </c>
      <c r="E91" s="25" t="s">
        <v>439</v>
      </c>
    </row>
    <row r="92" spans="1:5" ht="14.25" customHeight="1" x14ac:dyDescent="0.25">
      <c r="A92" s="255"/>
      <c r="B92" s="255"/>
      <c r="C92" s="24" t="s">
        <v>440</v>
      </c>
      <c r="D92" s="25" t="s">
        <v>441</v>
      </c>
      <c r="E92" s="25" t="s">
        <v>442</v>
      </c>
    </row>
    <row r="93" spans="1:5" ht="14.25" customHeight="1" x14ac:dyDescent="0.25">
      <c r="A93" s="255"/>
      <c r="B93" s="255"/>
      <c r="C93" s="24" t="s">
        <v>443</v>
      </c>
      <c r="D93" s="25" t="s">
        <v>444</v>
      </c>
      <c r="E93" s="25" t="s">
        <v>445</v>
      </c>
    </row>
    <row r="94" spans="1:5" ht="14.25" customHeight="1" x14ac:dyDescent="0.25">
      <c r="A94" s="253"/>
      <c r="B94" s="253"/>
      <c r="C94" s="24" t="s">
        <v>446</v>
      </c>
      <c r="D94" s="25" t="s">
        <v>447</v>
      </c>
      <c r="E94" s="25" t="s">
        <v>448</v>
      </c>
    </row>
    <row r="95" spans="1:5" ht="14.25" customHeight="1" x14ac:dyDescent="0.25">
      <c r="A95" s="256">
        <v>31</v>
      </c>
      <c r="B95" s="252" t="s">
        <v>450</v>
      </c>
      <c r="C95" s="27" t="s">
        <v>451</v>
      </c>
      <c r="D95" s="28" t="s">
        <v>452</v>
      </c>
      <c r="E95" s="29" t="s">
        <v>453</v>
      </c>
    </row>
    <row r="96" spans="1:5" ht="14.25" customHeight="1" x14ac:dyDescent="0.25">
      <c r="A96" s="255"/>
      <c r="B96" s="255"/>
      <c r="C96" s="27" t="s">
        <v>454</v>
      </c>
      <c r="D96" s="28" t="s">
        <v>455</v>
      </c>
      <c r="E96" s="29" t="s">
        <v>457</v>
      </c>
    </row>
    <row r="97" spans="1:5" ht="14.25" customHeight="1" x14ac:dyDescent="0.25">
      <c r="A97" s="255"/>
      <c r="B97" s="255"/>
      <c r="C97" s="27" t="s">
        <v>458</v>
      </c>
      <c r="D97" s="28" t="s">
        <v>460</v>
      </c>
      <c r="E97" s="29" t="s">
        <v>462</v>
      </c>
    </row>
    <row r="98" spans="1:5" ht="14.25" customHeight="1" x14ac:dyDescent="0.25">
      <c r="A98" s="253"/>
      <c r="B98" s="253"/>
      <c r="C98" s="27" t="s">
        <v>465</v>
      </c>
      <c r="D98" s="28" t="s">
        <v>466</v>
      </c>
      <c r="E98" s="29" t="s">
        <v>467</v>
      </c>
    </row>
    <row r="99" spans="1:5" ht="48" customHeight="1" x14ac:dyDescent="0.25">
      <c r="A99" s="256">
        <v>32</v>
      </c>
      <c r="B99" s="252" t="s">
        <v>469</v>
      </c>
      <c r="C99" s="27" t="s">
        <v>472</v>
      </c>
      <c r="D99" s="28" t="s">
        <v>17</v>
      </c>
      <c r="E99" s="29" t="s">
        <v>474</v>
      </c>
    </row>
    <row r="100" spans="1:5" ht="14.25" customHeight="1" x14ac:dyDescent="0.25">
      <c r="A100" s="253"/>
      <c r="B100" s="253"/>
      <c r="C100" s="27" t="s">
        <v>19</v>
      </c>
      <c r="D100" s="28" t="s">
        <v>477</v>
      </c>
      <c r="E100" s="29" t="s">
        <v>478</v>
      </c>
    </row>
    <row r="101" spans="1:5" ht="14.25" customHeight="1" x14ac:dyDescent="0.25">
      <c r="A101" s="257"/>
      <c r="B101" s="254" t="s">
        <v>480</v>
      </c>
      <c r="C101" s="30" t="s">
        <v>482</v>
      </c>
      <c r="D101" s="31" t="s">
        <v>483</v>
      </c>
      <c r="E101" s="34" t="s">
        <v>488</v>
      </c>
    </row>
    <row r="102" spans="1:5" ht="14.25" customHeight="1" x14ac:dyDescent="0.25">
      <c r="A102" s="187"/>
      <c r="B102" s="255"/>
      <c r="C102" s="30" t="s">
        <v>507</v>
      </c>
      <c r="D102" s="31" t="s">
        <v>509</v>
      </c>
      <c r="E102" s="34" t="s">
        <v>511</v>
      </c>
    </row>
    <row r="103" spans="1:5" ht="14.25" customHeight="1" x14ac:dyDescent="0.25">
      <c r="A103" s="187"/>
      <c r="B103" s="253"/>
      <c r="C103" s="30" t="s">
        <v>523</v>
      </c>
      <c r="D103" s="31" t="s">
        <v>525</v>
      </c>
      <c r="E103" s="34" t="s">
        <v>526</v>
      </c>
    </row>
    <row r="104" spans="1:5" ht="14.25" customHeight="1" x14ac:dyDescent="0.25">
      <c r="A104" s="7"/>
    </row>
    <row r="105" spans="1:5" ht="14.25" customHeight="1" x14ac:dyDescent="0.25">
      <c r="A105" s="7"/>
    </row>
    <row r="106" spans="1:5" ht="14.25" customHeight="1" x14ac:dyDescent="0.25">
      <c r="A106" s="7"/>
      <c r="B106" s="35"/>
      <c r="C106" s="36"/>
      <c r="D106" s="36"/>
      <c r="E106" s="36"/>
    </row>
    <row r="107" spans="1:5" ht="14.25" customHeight="1" x14ac:dyDescent="0.25">
      <c r="A107" s="7"/>
      <c r="B107" s="35"/>
      <c r="C107" s="36"/>
      <c r="D107" s="36"/>
      <c r="E107" s="36"/>
    </row>
    <row r="108" spans="1:5" ht="14.25" customHeight="1" x14ac:dyDescent="0.25">
      <c r="A108" s="7"/>
      <c r="B108" s="35"/>
      <c r="C108" s="36"/>
      <c r="D108" s="36"/>
      <c r="E108" s="36"/>
    </row>
    <row r="109" spans="1:5" ht="14.25" customHeight="1" x14ac:dyDescent="0.25">
      <c r="A109" s="7"/>
      <c r="B109" s="37" t="s">
        <v>502</v>
      </c>
      <c r="C109" s="37" t="s">
        <v>544</v>
      </c>
      <c r="D109" s="38" t="s">
        <v>545</v>
      </c>
      <c r="E109" s="36"/>
    </row>
    <row r="110" spans="1:5" ht="14.25" customHeight="1" x14ac:dyDescent="0.25">
      <c r="A110" s="7"/>
      <c r="B110" s="250" t="s">
        <v>7</v>
      </c>
      <c r="C110" s="39" t="s">
        <v>547</v>
      </c>
      <c r="D110" s="40" t="s">
        <v>548</v>
      </c>
      <c r="E110" s="36"/>
    </row>
    <row r="111" spans="1:5" ht="14.25" customHeight="1" x14ac:dyDescent="0.25">
      <c r="A111" s="7"/>
      <c r="B111" s="187"/>
      <c r="C111" s="39" t="s">
        <v>549</v>
      </c>
      <c r="D111" s="40" t="s">
        <v>550</v>
      </c>
      <c r="E111" s="36"/>
    </row>
    <row r="112" spans="1:5" ht="14.25" customHeight="1" x14ac:dyDescent="0.25">
      <c r="A112" s="7"/>
      <c r="B112" s="187"/>
      <c r="C112" s="39" t="s">
        <v>551</v>
      </c>
      <c r="D112" s="40" t="s">
        <v>552</v>
      </c>
      <c r="E112" s="36"/>
    </row>
    <row r="113" spans="1:5" ht="14.25" customHeight="1" x14ac:dyDescent="0.25">
      <c r="A113" s="7"/>
      <c r="B113" s="187"/>
      <c r="C113" s="39" t="s">
        <v>553</v>
      </c>
      <c r="D113" s="40" t="s">
        <v>554</v>
      </c>
      <c r="E113" s="36"/>
    </row>
    <row r="114" spans="1:5" ht="14.25" customHeight="1" x14ac:dyDescent="0.25">
      <c r="A114" s="7"/>
      <c r="B114" s="187"/>
      <c r="C114" s="39" t="s">
        <v>556</v>
      </c>
      <c r="D114" s="40" t="s">
        <v>558</v>
      </c>
      <c r="E114" s="36"/>
    </row>
    <row r="115" spans="1:5" ht="14.25" customHeight="1" x14ac:dyDescent="0.25">
      <c r="A115" s="7"/>
      <c r="B115" s="187"/>
      <c r="C115" s="39" t="s">
        <v>561</v>
      </c>
      <c r="D115" s="40" t="s">
        <v>563</v>
      </c>
      <c r="E115" s="36"/>
    </row>
    <row r="116" spans="1:5" ht="14.25" customHeight="1" x14ac:dyDescent="0.25">
      <c r="A116" s="7"/>
      <c r="B116" s="187"/>
      <c r="C116" s="39" t="s">
        <v>564</v>
      </c>
      <c r="D116" s="40" t="s">
        <v>565</v>
      </c>
      <c r="E116" s="36"/>
    </row>
    <row r="117" spans="1:5" ht="14.25" customHeight="1" x14ac:dyDescent="0.25">
      <c r="A117" s="7"/>
      <c r="B117" s="187"/>
      <c r="C117" s="39" t="s">
        <v>568</v>
      </c>
      <c r="D117" s="40" t="s">
        <v>570</v>
      </c>
      <c r="E117" s="36"/>
    </row>
    <row r="118" spans="1:5" ht="14.25" customHeight="1" x14ac:dyDescent="0.25">
      <c r="A118" s="7"/>
      <c r="B118" s="187"/>
      <c r="C118" s="39" t="s">
        <v>572</v>
      </c>
      <c r="D118" s="40" t="s">
        <v>573</v>
      </c>
      <c r="E118" s="36"/>
    </row>
    <row r="119" spans="1:5" ht="14.25" customHeight="1" x14ac:dyDescent="0.25">
      <c r="A119" s="7"/>
      <c r="B119" s="187"/>
      <c r="C119" s="39" t="s">
        <v>576</v>
      </c>
      <c r="D119" s="40" t="s">
        <v>577</v>
      </c>
      <c r="E119" s="36"/>
    </row>
    <row r="120" spans="1:5" ht="14.25" customHeight="1" x14ac:dyDescent="0.25">
      <c r="A120" s="7"/>
      <c r="B120" s="187"/>
      <c r="C120" s="39" t="s">
        <v>579</v>
      </c>
      <c r="D120" s="40" t="s">
        <v>580</v>
      </c>
      <c r="E120" s="36"/>
    </row>
    <row r="121" spans="1:5" ht="14.25" customHeight="1" x14ac:dyDescent="0.25">
      <c r="A121" s="7"/>
      <c r="B121" s="187"/>
      <c r="C121" s="39" t="s">
        <v>581</v>
      </c>
      <c r="D121" s="40" t="s">
        <v>582</v>
      </c>
      <c r="E121" s="36"/>
    </row>
    <row r="122" spans="1:5" ht="14.25" customHeight="1" x14ac:dyDescent="0.25">
      <c r="A122" s="7"/>
      <c r="B122" s="187"/>
      <c r="C122" s="39" t="s">
        <v>583</v>
      </c>
      <c r="D122" s="40" t="s">
        <v>584</v>
      </c>
      <c r="E122" s="36"/>
    </row>
    <row r="123" spans="1:5" ht="14.25" customHeight="1" x14ac:dyDescent="0.25">
      <c r="A123" s="7"/>
      <c r="B123" s="187"/>
      <c r="C123" s="39" t="s">
        <v>586</v>
      </c>
      <c r="D123" s="40" t="s">
        <v>587</v>
      </c>
      <c r="E123" s="36"/>
    </row>
    <row r="124" spans="1:5" ht="14.25" customHeight="1" x14ac:dyDescent="0.25">
      <c r="A124" s="7"/>
      <c r="B124" s="187"/>
      <c r="C124" s="39" t="s">
        <v>588</v>
      </c>
      <c r="D124" s="40" t="s">
        <v>589</v>
      </c>
      <c r="E124" s="36"/>
    </row>
    <row r="125" spans="1:5" ht="14.25" customHeight="1" x14ac:dyDescent="0.25">
      <c r="A125" s="7"/>
      <c r="B125" s="251"/>
      <c r="C125" s="39" t="s">
        <v>590</v>
      </c>
      <c r="D125" s="40" t="s">
        <v>591</v>
      </c>
      <c r="E125" s="36"/>
    </row>
    <row r="126" spans="1:5" ht="14.25" customHeight="1" x14ac:dyDescent="0.25">
      <c r="A126" s="7"/>
      <c r="B126" s="250" t="s">
        <v>53</v>
      </c>
      <c r="C126" s="39" t="s">
        <v>549</v>
      </c>
      <c r="D126" s="40" t="s">
        <v>550</v>
      </c>
      <c r="E126" s="36"/>
    </row>
    <row r="127" spans="1:5" ht="14.25" customHeight="1" x14ac:dyDescent="0.25">
      <c r="A127" s="7"/>
      <c r="B127" s="187"/>
      <c r="C127" s="39" t="s">
        <v>551</v>
      </c>
      <c r="D127" s="40" t="s">
        <v>552</v>
      </c>
      <c r="E127" s="36"/>
    </row>
    <row r="128" spans="1:5" ht="14.25" customHeight="1" x14ac:dyDescent="0.25">
      <c r="A128" s="7"/>
      <c r="B128" s="187"/>
      <c r="C128" s="39" t="s">
        <v>556</v>
      </c>
      <c r="D128" s="40" t="s">
        <v>558</v>
      </c>
      <c r="E128" s="36"/>
    </row>
    <row r="129" spans="1:5" ht="14.25" customHeight="1" x14ac:dyDescent="0.25">
      <c r="A129" s="7"/>
      <c r="B129" s="187"/>
      <c r="C129" s="39" t="s">
        <v>561</v>
      </c>
      <c r="D129" s="40" t="s">
        <v>563</v>
      </c>
      <c r="E129" s="36"/>
    </row>
    <row r="130" spans="1:5" ht="14.25" customHeight="1" x14ac:dyDescent="0.25">
      <c r="A130" s="7"/>
      <c r="B130" s="187"/>
      <c r="C130" s="39" t="s">
        <v>564</v>
      </c>
      <c r="D130" s="40" t="s">
        <v>565</v>
      </c>
      <c r="E130" s="36"/>
    </row>
    <row r="131" spans="1:5" ht="14.25" customHeight="1" x14ac:dyDescent="0.25">
      <c r="A131" s="7"/>
      <c r="B131" s="187"/>
      <c r="C131" s="39" t="s">
        <v>568</v>
      </c>
      <c r="D131" s="40" t="s">
        <v>570</v>
      </c>
      <c r="E131" s="36"/>
    </row>
    <row r="132" spans="1:5" ht="14.25" customHeight="1" x14ac:dyDescent="0.25">
      <c r="A132" s="7"/>
      <c r="B132" s="187"/>
      <c r="C132" s="39" t="s">
        <v>572</v>
      </c>
      <c r="D132" s="40" t="s">
        <v>573</v>
      </c>
      <c r="E132" s="36"/>
    </row>
    <row r="133" spans="1:5" ht="14.25" customHeight="1" x14ac:dyDescent="0.25">
      <c r="A133" s="7"/>
      <c r="B133" s="187"/>
      <c r="C133" s="39" t="s">
        <v>588</v>
      </c>
      <c r="D133" s="40" t="s">
        <v>589</v>
      </c>
      <c r="E133" s="36"/>
    </row>
    <row r="134" spans="1:5" ht="14.25" customHeight="1" x14ac:dyDescent="0.25">
      <c r="A134" s="7"/>
      <c r="B134" s="251"/>
      <c r="C134" s="39" t="s">
        <v>590</v>
      </c>
      <c r="D134" s="40" t="s">
        <v>591</v>
      </c>
      <c r="E134" s="36"/>
    </row>
    <row r="135" spans="1:5" ht="14.25" customHeight="1" x14ac:dyDescent="0.25">
      <c r="A135" s="7"/>
      <c r="B135" s="250" t="s">
        <v>193</v>
      </c>
      <c r="C135" s="39" t="s">
        <v>576</v>
      </c>
      <c r="D135" s="40" t="s">
        <v>577</v>
      </c>
      <c r="E135" s="36"/>
    </row>
    <row r="136" spans="1:5" ht="14.25" customHeight="1" x14ac:dyDescent="0.25">
      <c r="A136" s="7"/>
      <c r="B136" s="187"/>
      <c r="C136" s="39" t="s">
        <v>579</v>
      </c>
      <c r="D136" s="40" t="s">
        <v>580</v>
      </c>
      <c r="E136" s="36"/>
    </row>
    <row r="137" spans="1:5" ht="14.25" customHeight="1" x14ac:dyDescent="0.25">
      <c r="A137" s="7"/>
      <c r="B137" s="187"/>
      <c r="C137" s="39" t="s">
        <v>581</v>
      </c>
      <c r="D137" s="40" t="s">
        <v>582</v>
      </c>
      <c r="E137" s="36"/>
    </row>
    <row r="138" spans="1:5" ht="14.25" customHeight="1" x14ac:dyDescent="0.25">
      <c r="A138" s="7"/>
      <c r="B138" s="187"/>
      <c r="C138" s="39" t="s">
        <v>583</v>
      </c>
      <c r="D138" s="40" t="s">
        <v>584</v>
      </c>
      <c r="E138" s="36"/>
    </row>
    <row r="139" spans="1:5" ht="14.25" customHeight="1" x14ac:dyDescent="0.25">
      <c r="A139" s="7"/>
      <c r="B139" s="187"/>
      <c r="C139" s="39" t="s">
        <v>620</v>
      </c>
      <c r="D139" s="40" t="s">
        <v>621</v>
      </c>
      <c r="E139" s="36"/>
    </row>
    <row r="140" spans="1:5" ht="14.25" customHeight="1" x14ac:dyDescent="0.25">
      <c r="A140" s="7"/>
      <c r="B140" s="251"/>
      <c r="C140" s="39" t="s">
        <v>623</v>
      </c>
      <c r="D140" s="40" t="s">
        <v>624</v>
      </c>
      <c r="E140" s="36"/>
    </row>
    <row r="141" spans="1:5" ht="14.25" customHeight="1" x14ac:dyDescent="0.25">
      <c r="A141" s="7"/>
      <c r="B141" s="250" t="s">
        <v>251</v>
      </c>
      <c r="C141" s="39" t="s">
        <v>576</v>
      </c>
      <c r="D141" s="40" t="s">
        <v>577</v>
      </c>
      <c r="E141" s="36"/>
    </row>
    <row r="142" spans="1:5" ht="14.25" customHeight="1" x14ac:dyDescent="0.25">
      <c r="A142" s="7"/>
      <c r="B142" s="187"/>
      <c r="C142" s="39" t="s">
        <v>579</v>
      </c>
      <c r="D142" s="40" t="s">
        <v>580</v>
      </c>
      <c r="E142" s="36"/>
    </row>
    <row r="143" spans="1:5" ht="14.25" customHeight="1" x14ac:dyDescent="0.25">
      <c r="A143" s="7"/>
      <c r="B143" s="187"/>
      <c r="C143" s="39" t="s">
        <v>581</v>
      </c>
      <c r="D143" s="40" t="s">
        <v>582</v>
      </c>
      <c r="E143" s="36"/>
    </row>
    <row r="144" spans="1:5" ht="14.25" customHeight="1" x14ac:dyDescent="0.25">
      <c r="A144" s="7"/>
      <c r="B144" s="187"/>
      <c r="C144" s="39" t="s">
        <v>583</v>
      </c>
      <c r="D144" s="40" t="s">
        <v>584</v>
      </c>
      <c r="E144" s="36"/>
    </row>
    <row r="145" spans="1:5" ht="14.25" customHeight="1" x14ac:dyDescent="0.25">
      <c r="A145" s="7"/>
      <c r="B145" s="187"/>
      <c r="C145" s="39" t="s">
        <v>620</v>
      </c>
      <c r="D145" s="40" t="s">
        <v>621</v>
      </c>
      <c r="E145" s="36"/>
    </row>
    <row r="146" spans="1:5" ht="14.25" customHeight="1" x14ac:dyDescent="0.25">
      <c r="A146" s="7"/>
      <c r="B146" s="251"/>
      <c r="C146" s="39" t="s">
        <v>623</v>
      </c>
      <c r="D146" s="40" t="s">
        <v>624</v>
      </c>
      <c r="E146" s="36"/>
    </row>
    <row r="147" spans="1:5" ht="14.25" customHeight="1" x14ac:dyDescent="0.25">
      <c r="A147" s="7"/>
      <c r="B147" s="250" t="s">
        <v>339</v>
      </c>
      <c r="C147" s="39" t="s">
        <v>576</v>
      </c>
      <c r="D147" s="40" t="s">
        <v>577</v>
      </c>
      <c r="E147" s="36"/>
    </row>
    <row r="148" spans="1:5" ht="14.25" customHeight="1" x14ac:dyDescent="0.25">
      <c r="A148" s="7"/>
      <c r="B148" s="187"/>
      <c r="C148" s="39" t="s">
        <v>579</v>
      </c>
      <c r="D148" s="40" t="s">
        <v>580</v>
      </c>
      <c r="E148" s="36"/>
    </row>
    <row r="149" spans="1:5" ht="14.25" customHeight="1" x14ac:dyDescent="0.25">
      <c r="A149" s="7"/>
      <c r="B149" s="187"/>
      <c r="C149" s="39" t="s">
        <v>581</v>
      </c>
      <c r="D149" s="40" t="s">
        <v>582</v>
      </c>
      <c r="E149" s="36"/>
    </row>
    <row r="150" spans="1:5" ht="14.25" customHeight="1" x14ac:dyDescent="0.25">
      <c r="A150" s="7"/>
      <c r="B150" s="187"/>
      <c r="C150" s="39" t="s">
        <v>583</v>
      </c>
      <c r="D150" s="40" t="s">
        <v>584</v>
      </c>
      <c r="E150" s="36"/>
    </row>
    <row r="151" spans="1:5" ht="14.25" customHeight="1" x14ac:dyDescent="0.25">
      <c r="A151" s="7"/>
      <c r="B151" s="187"/>
      <c r="C151" s="39" t="s">
        <v>620</v>
      </c>
      <c r="D151" s="40" t="s">
        <v>621</v>
      </c>
      <c r="E151" s="36"/>
    </row>
    <row r="152" spans="1:5" ht="14.25" customHeight="1" x14ac:dyDescent="0.25">
      <c r="A152" s="7"/>
      <c r="B152" s="251"/>
      <c r="C152" s="39" t="s">
        <v>623</v>
      </c>
      <c r="D152" s="40" t="s">
        <v>624</v>
      </c>
      <c r="E152" s="36"/>
    </row>
    <row r="153" spans="1:5" ht="14.25" customHeight="1" x14ac:dyDescent="0.25">
      <c r="A153" s="7"/>
      <c r="B153" s="250" t="s">
        <v>347</v>
      </c>
      <c r="C153" s="39" t="s">
        <v>547</v>
      </c>
      <c r="D153" s="40" t="s">
        <v>548</v>
      </c>
      <c r="E153" s="36"/>
    </row>
    <row r="154" spans="1:5" ht="14.25" customHeight="1" x14ac:dyDescent="0.25">
      <c r="A154" s="7"/>
      <c r="B154" s="187"/>
      <c r="C154" s="39" t="s">
        <v>549</v>
      </c>
      <c r="D154" s="40" t="s">
        <v>550</v>
      </c>
      <c r="E154" s="36"/>
    </row>
    <row r="155" spans="1:5" ht="14.25" customHeight="1" x14ac:dyDescent="0.25">
      <c r="A155" s="7"/>
      <c r="B155" s="187"/>
      <c r="C155" s="39" t="s">
        <v>551</v>
      </c>
      <c r="D155" s="40" t="s">
        <v>552</v>
      </c>
      <c r="E155" s="36"/>
    </row>
    <row r="156" spans="1:5" ht="14.25" customHeight="1" x14ac:dyDescent="0.25">
      <c r="A156" s="7"/>
      <c r="B156" s="187"/>
      <c r="C156" s="39" t="s">
        <v>553</v>
      </c>
      <c r="D156" s="40" t="s">
        <v>554</v>
      </c>
      <c r="E156" s="36"/>
    </row>
    <row r="157" spans="1:5" ht="14.25" customHeight="1" x14ac:dyDescent="0.25">
      <c r="A157" s="7"/>
      <c r="B157" s="187"/>
      <c r="C157" s="39" t="s">
        <v>556</v>
      </c>
      <c r="D157" s="40" t="s">
        <v>558</v>
      </c>
      <c r="E157" s="36"/>
    </row>
    <row r="158" spans="1:5" ht="14.25" customHeight="1" x14ac:dyDescent="0.25">
      <c r="A158" s="7"/>
      <c r="B158" s="187"/>
      <c r="C158" s="39" t="s">
        <v>561</v>
      </c>
      <c r="D158" s="40" t="s">
        <v>563</v>
      </c>
      <c r="E158" s="36"/>
    </row>
    <row r="159" spans="1:5" ht="14.25" customHeight="1" x14ac:dyDescent="0.25">
      <c r="A159" s="7"/>
      <c r="B159" s="187"/>
      <c r="C159" s="39" t="s">
        <v>564</v>
      </c>
      <c r="D159" s="40" t="s">
        <v>565</v>
      </c>
      <c r="E159" s="36"/>
    </row>
    <row r="160" spans="1:5" ht="14.25" customHeight="1" x14ac:dyDescent="0.25">
      <c r="A160" s="7"/>
      <c r="B160" s="187"/>
      <c r="C160" s="39" t="s">
        <v>568</v>
      </c>
      <c r="D160" s="40" t="s">
        <v>570</v>
      </c>
      <c r="E160" s="36"/>
    </row>
    <row r="161" spans="1:5" ht="14.25" customHeight="1" x14ac:dyDescent="0.25">
      <c r="A161" s="7"/>
      <c r="B161" s="187"/>
      <c r="C161" s="39" t="s">
        <v>572</v>
      </c>
      <c r="D161" s="40" t="s">
        <v>573</v>
      </c>
      <c r="E161" s="36"/>
    </row>
    <row r="162" spans="1:5" ht="14.25" customHeight="1" x14ac:dyDescent="0.25">
      <c r="A162" s="7"/>
      <c r="B162" s="187"/>
      <c r="C162" s="39" t="s">
        <v>576</v>
      </c>
      <c r="D162" s="40" t="s">
        <v>577</v>
      </c>
      <c r="E162" s="36"/>
    </row>
    <row r="163" spans="1:5" ht="14.25" customHeight="1" x14ac:dyDescent="0.25">
      <c r="A163" s="7"/>
      <c r="B163" s="187"/>
      <c r="C163" s="39" t="s">
        <v>579</v>
      </c>
      <c r="D163" s="40" t="s">
        <v>580</v>
      </c>
      <c r="E163" s="36"/>
    </row>
    <row r="164" spans="1:5" ht="14.25" customHeight="1" x14ac:dyDescent="0.25">
      <c r="A164" s="7"/>
      <c r="B164" s="187"/>
      <c r="C164" s="39" t="s">
        <v>581</v>
      </c>
      <c r="D164" s="40" t="s">
        <v>582</v>
      </c>
      <c r="E164" s="36"/>
    </row>
    <row r="165" spans="1:5" ht="14.25" customHeight="1" x14ac:dyDescent="0.25">
      <c r="A165" s="7"/>
      <c r="B165" s="187"/>
      <c r="C165" s="39" t="s">
        <v>583</v>
      </c>
      <c r="D165" s="40" t="s">
        <v>584</v>
      </c>
      <c r="E165" s="36"/>
    </row>
    <row r="166" spans="1:5" ht="14.25" customHeight="1" x14ac:dyDescent="0.25">
      <c r="A166" s="7"/>
      <c r="B166" s="187"/>
      <c r="C166" s="39" t="s">
        <v>586</v>
      </c>
      <c r="D166" s="40" t="s">
        <v>587</v>
      </c>
      <c r="E166" s="36"/>
    </row>
    <row r="167" spans="1:5" ht="14.25" customHeight="1" x14ac:dyDescent="0.25">
      <c r="A167" s="7"/>
      <c r="B167" s="187"/>
      <c r="C167" s="39" t="s">
        <v>588</v>
      </c>
      <c r="D167" s="40" t="s">
        <v>589</v>
      </c>
      <c r="E167" s="36"/>
    </row>
    <row r="168" spans="1:5" ht="14.25" customHeight="1" x14ac:dyDescent="0.25">
      <c r="A168" s="7"/>
      <c r="B168" s="251"/>
      <c r="C168" s="39" t="s">
        <v>590</v>
      </c>
      <c r="D168" s="40" t="s">
        <v>591</v>
      </c>
      <c r="E168" s="36"/>
    </row>
    <row r="169" spans="1:5" ht="14.25" customHeight="1" x14ac:dyDescent="0.25">
      <c r="A169" s="7"/>
      <c r="B169" s="250" t="s">
        <v>362</v>
      </c>
      <c r="C169" s="39" t="s">
        <v>547</v>
      </c>
      <c r="D169" s="40" t="s">
        <v>548</v>
      </c>
      <c r="E169" s="36"/>
    </row>
    <row r="170" spans="1:5" ht="14.25" customHeight="1" x14ac:dyDescent="0.25">
      <c r="A170" s="7"/>
      <c r="B170" s="187"/>
      <c r="C170" s="39" t="s">
        <v>549</v>
      </c>
      <c r="D170" s="40" t="s">
        <v>550</v>
      </c>
      <c r="E170" s="36"/>
    </row>
    <row r="171" spans="1:5" ht="14.25" customHeight="1" x14ac:dyDescent="0.25">
      <c r="A171" s="7"/>
      <c r="B171" s="187"/>
      <c r="C171" s="39" t="s">
        <v>551</v>
      </c>
      <c r="D171" s="40" t="s">
        <v>552</v>
      </c>
      <c r="E171" s="36"/>
    </row>
    <row r="172" spans="1:5" ht="14.25" customHeight="1" x14ac:dyDescent="0.25">
      <c r="A172" s="7"/>
      <c r="B172" s="187"/>
      <c r="C172" s="39" t="s">
        <v>553</v>
      </c>
      <c r="D172" s="40" t="s">
        <v>554</v>
      </c>
      <c r="E172" s="36"/>
    </row>
    <row r="173" spans="1:5" ht="14.25" customHeight="1" x14ac:dyDescent="0.25">
      <c r="A173" s="7"/>
      <c r="B173" s="187"/>
      <c r="C173" s="39" t="s">
        <v>556</v>
      </c>
      <c r="D173" s="40" t="s">
        <v>558</v>
      </c>
      <c r="E173" s="36"/>
    </row>
    <row r="174" spans="1:5" ht="14.25" customHeight="1" x14ac:dyDescent="0.25">
      <c r="A174" s="7"/>
      <c r="B174" s="187"/>
      <c r="C174" s="39" t="s">
        <v>561</v>
      </c>
      <c r="D174" s="40" t="s">
        <v>563</v>
      </c>
      <c r="E174" s="36"/>
    </row>
    <row r="175" spans="1:5" ht="14.25" customHeight="1" x14ac:dyDescent="0.25">
      <c r="A175" s="7"/>
      <c r="B175" s="187"/>
      <c r="C175" s="39" t="s">
        <v>564</v>
      </c>
      <c r="D175" s="40" t="s">
        <v>565</v>
      </c>
      <c r="E175" s="36"/>
    </row>
    <row r="176" spans="1:5" ht="14.25" customHeight="1" x14ac:dyDescent="0.25">
      <c r="A176" s="7"/>
      <c r="B176" s="187"/>
      <c r="C176" s="39" t="s">
        <v>568</v>
      </c>
      <c r="D176" s="40" t="s">
        <v>570</v>
      </c>
      <c r="E176" s="36"/>
    </row>
    <row r="177" spans="1:5" ht="14.25" customHeight="1" x14ac:dyDescent="0.25">
      <c r="A177" s="7"/>
      <c r="B177" s="251"/>
      <c r="C177" s="39" t="s">
        <v>572</v>
      </c>
      <c r="D177" s="40" t="s">
        <v>573</v>
      </c>
      <c r="E177" s="36"/>
    </row>
    <row r="178" spans="1:5" ht="14.25" customHeight="1" x14ac:dyDescent="0.25">
      <c r="A178" s="7"/>
      <c r="B178" s="250" t="s">
        <v>233</v>
      </c>
      <c r="C178" s="39" t="s">
        <v>547</v>
      </c>
      <c r="D178" s="40" t="s">
        <v>548</v>
      </c>
      <c r="E178" s="36"/>
    </row>
    <row r="179" spans="1:5" ht="14.25" customHeight="1" x14ac:dyDescent="0.25">
      <c r="A179" s="7"/>
      <c r="B179" s="187"/>
      <c r="C179" s="39" t="s">
        <v>549</v>
      </c>
      <c r="D179" s="40" t="s">
        <v>550</v>
      </c>
      <c r="E179" s="36"/>
    </row>
    <row r="180" spans="1:5" ht="14.25" customHeight="1" x14ac:dyDescent="0.25">
      <c r="A180" s="7"/>
      <c r="B180" s="187"/>
      <c r="C180" s="39" t="s">
        <v>551</v>
      </c>
      <c r="D180" s="40" t="s">
        <v>552</v>
      </c>
      <c r="E180" s="36"/>
    </row>
    <row r="181" spans="1:5" ht="14.25" customHeight="1" x14ac:dyDescent="0.25">
      <c r="A181" s="7"/>
      <c r="B181" s="187"/>
      <c r="C181" s="39" t="s">
        <v>556</v>
      </c>
      <c r="D181" s="40" t="s">
        <v>558</v>
      </c>
      <c r="E181" s="36"/>
    </row>
    <row r="182" spans="1:5" ht="14.25" customHeight="1" x14ac:dyDescent="0.25">
      <c r="A182" s="7"/>
      <c r="B182" s="187"/>
      <c r="C182" s="39" t="s">
        <v>561</v>
      </c>
      <c r="D182" s="40" t="s">
        <v>563</v>
      </c>
      <c r="E182" s="36"/>
    </row>
    <row r="183" spans="1:5" ht="14.25" customHeight="1" x14ac:dyDescent="0.25">
      <c r="A183" s="7"/>
      <c r="B183" s="187"/>
      <c r="C183" s="39" t="s">
        <v>564</v>
      </c>
      <c r="D183" s="40" t="s">
        <v>565</v>
      </c>
      <c r="E183" s="36"/>
    </row>
    <row r="184" spans="1:5" ht="14.25" customHeight="1" x14ac:dyDescent="0.25">
      <c r="A184" s="7"/>
      <c r="B184" s="187"/>
      <c r="C184" s="39" t="s">
        <v>568</v>
      </c>
      <c r="D184" s="40" t="s">
        <v>570</v>
      </c>
      <c r="E184" s="36"/>
    </row>
    <row r="185" spans="1:5" ht="14.25" customHeight="1" x14ac:dyDescent="0.25">
      <c r="A185" s="7"/>
      <c r="B185" s="187"/>
      <c r="C185" s="39" t="s">
        <v>572</v>
      </c>
      <c r="D185" s="40" t="s">
        <v>573</v>
      </c>
      <c r="E185" s="36"/>
    </row>
    <row r="186" spans="1:5" ht="14.25" customHeight="1" x14ac:dyDescent="0.25">
      <c r="A186" s="7"/>
      <c r="B186" s="187"/>
      <c r="C186" s="39" t="s">
        <v>588</v>
      </c>
      <c r="D186" s="40" t="s">
        <v>589</v>
      </c>
      <c r="E186" s="36"/>
    </row>
    <row r="187" spans="1:5" ht="14.25" customHeight="1" x14ac:dyDescent="0.25">
      <c r="A187" s="7"/>
      <c r="B187" s="251"/>
      <c r="C187" s="39" t="s">
        <v>590</v>
      </c>
      <c r="D187" s="40" t="s">
        <v>591</v>
      </c>
      <c r="E187" s="36"/>
    </row>
    <row r="188" spans="1:5" ht="14.25" customHeight="1" x14ac:dyDescent="0.25">
      <c r="A188" s="7"/>
      <c r="B188" s="250" t="s">
        <v>237</v>
      </c>
      <c r="C188" s="39" t="s">
        <v>547</v>
      </c>
      <c r="D188" s="40" t="s">
        <v>548</v>
      </c>
      <c r="E188" s="36"/>
    </row>
    <row r="189" spans="1:5" ht="14.25" customHeight="1" x14ac:dyDescent="0.25">
      <c r="A189" s="7"/>
      <c r="B189" s="187"/>
      <c r="C189" s="39" t="s">
        <v>549</v>
      </c>
      <c r="D189" s="40" t="s">
        <v>550</v>
      </c>
      <c r="E189" s="36"/>
    </row>
    <row r="190" spans="1:5" ht="14.25" customHeight="1" x14ac:dyDescent="0.25">
      <c r="A190" s="7"/>
      <c r="B190" s="187"/>
      <c r="C190" s="39" t="s">
        <v>551</v>
      </c>
      <c r="D190" s="40" t="s">
        <v>552</v>
      </c>
      <c r="E190" s="36"/>
    </row>
    <row r="191" spans="1:5" ht="14.25" customHeight="1" x14ac:dyDescent="0.25">
      <c r="A191" s="7"/>
      <c r="B191" s="187"/>
      <c r="C191" s="39" t="s">
        <v>553</v>
      </c>
      <c r="D191" s="40" t="s">
        <v>554</v>
      </c>
      <c r="E191" s="36"/>
    </row>
    <row r="192" spans="1:5" ht="14.25" customHeight="1" x14ac:dyDescent="0.25">
      <c r="A192" s="7"/>
      <c r="B192" s="187"/>
      <c r="C192" s="39" t="s">
        <v>556</v>
      </c>
      <c r="D192" s="40" t="s">
        <v>558</v>
      </c>
      <c r="E192" s="36"/>
    </row>
    <row r="193" spans="1:5" ht="14.25" customHeight="1" x14ac:dyDescent="0.25">
      <c r="A193" s="7"/>
      <c r="B193" s="187"/>
      <c r="C193" s="39" t="s">
        <v>561</v>
      </c>
      <c r="D193" s="40" t="s">
        <v>563</v>
      </c>
      <c r="E193" s="36"/>
    </row>
    <row r="194" spans="1:5" ht="14.25" customHeight="1" x14ac:dyDescent="0.25">
      <c r="A194" s="7"/>
      <c r="B194" s="187"/>
      <c r="C194" s="39" t="s">
        <v>564</v>
      </c>
      <c r="D194" s="40" t="s">
        <v>565</v>
      </c>
      <c r="E194" s="36"/>
    </row>
    <row r="195" spans="1:5" ht="14.25" customHeight="1" x14ac:dyDescent="0.25">
      <c r="A195" s="7"/>
      <c r="B195" s="187"/>
      <c r="C195" s="39" t="s">
        <v>568</v>
      </c>
      <c r="D195" s="40" t="s">
        <v>570</v>
      </c>
      <c r="E195" s="36"/>
    </row>
    <row r="196" spans="1:5" ht="14.25" customHeight="1" x14ac:dyDescent="0.25">
      <c r="A196" s="7"/>
      <c r="B196" s="187"/>
      <c r="C196" s="39" t="s">
        <v>572</v>
      </c>
      <c r="D196" s="40" t="s">
        <v>573</v>
      </c>
      <c r="E196" s="36"/>
    </row>
    <row r="197" spans="1:5" ht="14.25" customHeight="1" x14ac:dyDescent="0.25">
      <c r="A197" s="7"/>
      <c r="B197" s="187"/>
      <c r="C197" s="39" t="s">
        <v>586</v>
      </c>
      <c r="D197" s="40" t="s">
        <v>587</v>
      </c>
      <c r="E197" s="36"/>
    </row>
    <row r="198" spans="1:5" ht="14.25" customHeight="1" x14ac:dyDescent="0.25">
      <c r="A198" s="7"/>
      <c r="B198" s="187"/>
      <c r="C198" s="39" t="s">
        <v>588</v>
      </c>
      <c r="D198" s="40" t="s">
        <v>589</v>
      </c>
      <c r="E198" s="36"/>
    </row>
    <row r="199" spans="1:5" ht="14.25" customHeight="1" x14ac:dyDescent="0.25">
      <c r="A199" s="7"/>
      <c r="B199" s="251"/>
      <c r="C199" s="39" t="s">
        <v>590</v>
      </c>
      <c r="D199" s="40" t="s">
        <v>591</v>
      </c>
      <c r="E199" s="36"/>
    </row>
    <row r="200" spans="1:5" ht="14.25" customHeight="1" x14ac:dyDescent="0.25">
      <c r="A200" s="7"/>
      <c r="B200" s="250" t="s">
        <v>398</v>
      </c>
      <c r="C200" s="39" t="s">
        <v>553</v>
      </c>
      <c r="D200" s="40" t="s">
        <v>554</v>
      </c>
      <c r="E200" s="36"/>
    </row>
    <row r="201" spans="1:5" ht="14.25" customHeight="1" x14ac:dyDescent="0.25">
      <c r="A201" s="7"/>
      <c r="B201" s="187"/>
      <c r="C201" s="39" t="s">
        <v>581</v>
      </c>
      <c r="D201" s="40" t="s">
        <v>582</v>
      </c>
      <c r="E201" s="36"/>
    </row>
    <row r="202" spans="1:5" ht="14.25" customHeight="1" x14ac:dyDescent="0.25">
      <c r="A202" s="7"/>
      <c r="B202" s="251"/>
      <c r="C202" s="39" t="s">
        <v>583</v>
      </c>
      <c r="D202" s="40" t="s">
        <v>584</v>
      </c>
      <c r="E202" s="36"/>
    </row>
    <row r="203" spans="1:5" ht="14.25" customHeight="1" x14ac:dyDescent="0.25">
      <c r="A203" s="7"/>
      <c r="B203" s="250" t="s">
        <v>334</v>
      </c>
      <c r="C203" s="39" t="s">
        <v>551</v>
      </c>
      <c r="D203" s="40" t="s">
        <v>552</v>
      </c>
      <c r="E203" s="36"/>
    </row>
    <row r="204" spans="1:5" ht="14.25" customHeight="1" x14ac:dyDescent="0.25">
      <c r="A204" s="7"/>
      <c r="B204" s="187"/>
      <c r="C204" s="39" t="s">
        <v>553</v>
      </c>
      <c r="D204" s="40" t="s">
        <v>554</v>
      </c>
      <c r="E204" s="36"/>
    </row>
    <row r="205" spans="1:5" ht="14.25" customHeight="1" x14ac:dyDescent="0.25">
      <c r="A205" s="7"/>
      <c r="B205" s="187"/>
      <c r="C205" s="39" t="s">
        <v>556</v>
      </c>
      <c r="D205" s="40" t="s">
        <v>558</v>
      </c>
      <c r="E205" s="36"/>
    </row>
    <row r="206" spans="1:5" ht="14.25" customHeight="1" x14ac:dyDescent="0.25">
      <c r="A206" s="7"/>
      <c r="B206" s="187"/>
      <c r="C206" s="39" t="s">
        <v>561</v>
      </c>
      <c r="D206" s="40" t="s">
        <v>563</v>
      </c>
      <c r="E206" s="36"/>
    </row>
    <row r="207" spans="1:5" ht="14.25" customHeight="1" x14ac:dyDescent="0.25">
      <c r="A207" s="7"/>
      <c r="B207" s="187"/>
      <c r="C207" s="39" t="s">
        <v>564</v>
      </c>
      <c r="D207" s="40" t="s">
        <v>565</v>
      </c>
      <c r="E207" s="36"/>
    </row>
    <row r="208" spans="1:5" ht="14.25" customHeight="1" x14ac:dyDescent="0.25">
      <c r="A208" s="7"/>
      <c r="B208" s="251"/>
      <c r="C208" s="39" t="s">
        <v>586</v>
      </c>
      <c r="D208" s="40" t="s">
        <v>587</v>
      </c>
      <c r="E208" s="36"/>
    </row>
    <row r="209" spans="1:5" ht="14.25" customHeight="1" x14ac:dyDescent="0.25">
      <c r="A209" s="7"/>
      <c r="B209" s="250" t="s">
        <v>255</v>
      </c>
      <c r="C209" s="39" t="s">
        <v>586</v>
      </c>
      <c r="D209" s="40" t="s">
        <v>587</v>
      </c>
      <c r="E209" s="36"/>
    </row>
    <row r="210" spans="1:5" ht="14.25" customHeight="1" x14ac:dyDescent="0.25">
      <c r="A210" s="7"/>
      <c r="B210" s="251"/>
      <c r="C210" s="39" t="s">
        <v>666</v>
      </c>
      <c r="D210" s="40" t="s">
        <v>667</v>
      </c>
      <c r="E210" s="36"/>
    </row>
    <row r="211" spans="1:5" ht="14.25" customHeight="1" x14ac:dyDescent="0.25">
      <c r="A211" s="7"/>
      <c r="B211" s="35"/>
      <c r="C211" s="36"/>
      <c r="D211" s="36"/>
      <c r="E211" s="36"/>
    </row>
    <row r="212" spans="1:5" ht="14.25" customHeight="1" x14ac:dyDescent="0.25">
      <c r="A212" s="7"/>
      <c r="B212" s="35"/>
      <c r="C212" s="36"/>
      <c r="D212" s="36"/>
      <c r="E212" s="36"/>
    </row>
    <row r="213" spans="1:5" ht="14.25" customHeight="1" x14ac:dyDescent="0.25">
      <c r="A213" s="7"/>
      <c r="B213" s="35"/>
      <c r="C213" s="36"/>
      <c r="D213" s="36"/>
      <c r="E213" s="36"/>
    </row>
    <row r="214" spans="1:5" ht="14.25" customHeight="1" x14ac:dyDescent="0.25">
      <c r="A214" s="7"/>
      <c r="B214" s="35"/>
      <c r="C214" s="36"/>
      <c r="D214" s="36"/>
      <c r="E214" s="36"/>
    </row>
    <row r="215" spans="1:5" ht="14.25" customHeight="1" x14ac:dyDescent="0.25">
      <c r="A215" s="7"/>
      <c r="B215" s="35"/>
      <c r="C215" s="36"/>
      <c r="D215" s="36"/>
      <c r="E215" s="36"/>
    </row>
    <row r="216" spans="1:5" ht="14.25" customHeight="1" x14ac:dyDescent="0.25">
      <c r="A216" s="7"/>
      <c r="B216" s="35"/>
      <c r="C216" s="36"/>
      <c r="D216" s="36"/>
      <c r="E216" s="36"/>
    </row>
    <row r="217" spans="1:5" ht="14.25" customHeight="1" x14ac:dyDescent="0.25">
      <c r="A217" s="7"/>
      <c r="B217" s="35"/>
      <c r="C217" s="36"/>
      <c r="D217" s="36"/>
      <c r="E217" s="36"/>
    </row>
    <row r="218" spans="1:5" ht="14.25" customHeight="1" x14ac:dyDescent="0.25">
      <c r="A218" s="7"/>
      <c r="B218" s="35"/>
      <c r="C218" s="36"/>
      <c r="D218" s="36"/>
      <c r="E218" s="36"/>
    </row>
    <row r="219" spans="1:5" ht="14.25" customHeight="1" x14ac:dyDescent="0.25">
      <c r="A219" s="7"/>
      <c r="B219" s="35"/>
      <c r="C219" s="36"/>
      <c r="D219" s="36"/>
      <c r="E219" s="36"/>
    </row>
    <row r="220" spans="1:5" ht="14.25" customHeight="1" x14ac:dyDescent="0.25">
      <c r="A220" s="7"/>
      <c r="B220" s="35"/>
      <c r="C220" s="36"/>
      <c r="D220" s="36"/>
      <c r="E220" s="36"/>
    </row>
    <row r="221" spans="1:5" ht="14.25" customHeight="1" x14ac:dyDescent="0.25">
      <c r="A221" s="7"/>
      <c r="B221" s="35"/>
      <c r="C221" s="36"/>
      <c r="D221" s="36"/>
      <c r="E221" s="36"/>
    </row>
    <row r="222" spans="1:5" ht="14.25" customHeight="1" x14ac:dyDescent="0.25">
      <c r="A222" s="7"/>
      <c r="B222" s="35"/>
      <c r="C222" s="36"/>
      <c r="D222" s="36"/>
      <c r="E222" s="36"/>
    </row>
    <row r="223" spans="1:5" ht="14.25" customHeight="1" x14ac:dyDescent="0.25">
      <c r="A223" s="7"/>
      <c r="B223" s="35"/>
      <c r="C223" s="36"/>
      <c r="D223" s="36"/>
      <c r="E223" s="36"/>
    </row>
    <row r="224" spans="1:5" ht="14.25" customHeight="1" x14ac:dyDescent="0.25">
      <c r="A224" s="7"/>
      <c r="B224" s="35"/>
      <c r="C224" s="36"/>
      <c r="D224" s="36"/>
      <c r="E224" s="36"/>
    </row>
    <row r="225" spans="1:5" ht="14.25" customHeight="1" x14ac:dyDescent="0.25">
      <c r="A225" s="7"/>
      <c r="B225" s="35"/>
      <c r="C225" s="36"/>
      <c r="D225" s="36"/>
      <c r="E225" s="36"/>
    </row>
    <row r="226" spans="1:5" ht="14.25" customHeight="1" x14ac:dyDescent="0.25">
      <c r="A226" s="7"/>
      <c r="B226" s="35"/>
      <c r="C226" s="36"/>
      <c r="D226" s="36"/>
      <c r="E226" s="36"/>
    </row>
    <row r="227" spans="1:5" ht="14.25" customHeight="1" x14ac:dyDescent="0.25">
      <c r="A227" s="7"/>
      <c r="B227" s="35"/>
      <c r="C227" s="36"/>
      <c r="D227" s="36"/>
      <c r="E227" s="36"/>
    </row>
    <row r="228" spans="1:5" ht="14.25" customHeight="1" x14ac:dyDescent="0.25">
      <c r="A228" s="7"/>
      <c r="B228" s="35"/>
      <c r="C228" s="36"/>
      <c r="D228" s="36"/>
      <c r="E228" s="36"/>
    </row>
    <row r="229" spans="1:5" ht="14.25" customHeight="1" x14ac:dyDescent="0.25">
      <c r="A229" s="7"/>
      <c r="B229" s="35"/>
      <c r="C229" s="36"/>
      <c r="D229" s="36"/>
      <c r="E229" s="36"/>
    </row>
    <row r="230" spans="1:5" ht="14.25" customHeight="1" x14ac:dyDescent="0.25">
      <c r="A230" s="7"/>
      <c r="B230" s="35"/>
      <c r="C230" s="36"/>
      <c r="D230" s="36"/>
      <c r="E230" s="36"/>
    </row>
    <row r="231" spans="1:5" ht="14.25" customHeight="1" x14ac:dyDescent="0.25">
      <c r="A231" s="7"/>
      <c r="B231" s="35"/>
      <c r="C231" s="36"/>
      <c r="D231" s="36"/>
      <c r="E231" s="36"/>
    </row>
    <row r="232" spans="1:5" ht="14.25" customHeight="1" x14ac:dyDescent="0.25">
      <c r="A232" s="7"/>
      <c r="B232" s="35"/>
      <c r="C232" s="36"/>
      <c r="D232" s="36"/>
      <c r="E232" s="36"/>
    </row>
    <row r="233" spans="1:5" ht="14.25" customHeight="1" x14ac:dyDescent="0.25">
      <c r="A233" s="7"/>
      <c r="B233" s="35"/>
      <c r="C233" s="36"/>
      <c r="D233" s="36"/>
      <c r="E233" s="36"/>
    </row>
    <row r="234" spans="1:5" ht="14.25" customHeight="1" x14ac:dyDescent="0.25">
      <c r="A234" s="7"/>
      <c r="B234" s="35"/>
      <c r="C234" s="36"/>
      <c r="D234" s="36"/>
      <c r="E234" s="36"/>
    </row>
    <row r="235" spans="1:5" ht="14.25" customHeight="1" x14ac:dyDescent="0.25">
      <c r="A235" s="7"/>
      <c r="B235" s="35"/>
      <c r="C235" s="36"/>
      <c r="D235" s="36"/>
      <c r="E235" s="36"/>
    </row>
    <row r="236" spans="1:5" ht="14.25" customHeight="1" x14ac:dyDescent="0.25">
      <c r="A236" s="7"/>
      <c r="B236" s="35"/>
      <c r="C236" s="36"/>
      <c r="D236" s="36"/>
      <c r="E236" s="36"/>
    </row>
    <row r="237" spans="1:5" ht="14.25" customHeight="1" x14ac:dyDescent="0.25">
      <c r="A237" s="7"/>
      <c r="B237" s="35"/>
      <c r="C237" s="36"/>
      <c r="D237" s="36"/>
      <c r="E237" s="36"/>
    </row>
    <row r="238" spans="1:5" ht="14.25" customHeight="1" x14ac:dyDescent="0.25">
      <c r="A238" s="7"/>
      <c r="B238" s="35"/>
      <c r="C238" s="36"/>
      <c r="D238" s="36"/>
      <c r="E238" s="36"/>
    </row>
    <row r="239" spans="1:5" ht="14.25" customHeight="1" x14ac:dyDescent="0.25">
      <c r="A239" s="7"/>
      <c r="B239" s="35"/>
      <c r="C239" s="36"/>
      <c r="D239" s="36"/>
      <c r="E239" s="36"/>
    </row>
    <row r="240" spans="1:5" ht="14.25" customHeight="1" x14ac:dyDescent="0.25">
      <c r="A240" s="7"/>
      <c r="B240" s="35"/>
      <c r="C240" s="36"/>
      <c r="D240" s="36"/>
      <c r="E240" s="36"/>
    </row>
    <row r="241" spans="1:5" ht="14.25" customHeight="1" x14ac:dyDescent="0.25">
      <c r="A241" s="7"/>
      <c r="B241" s="35"/>
      <c r="C241" s="36"/>
      <c r="D241" s="36"/>
      <c r="E241" s="36"/>
    </row>
    <row r="242" spans="1:5" ht="14.25" customHeight="1" x14ac:dyDescent="0.25">
      <c r="A242" s="7"/>
      <c r="B242" s="35"/>
      <c r="C242" s="36"/>
      <c r="D242" s="36"/>
      <c r="E242" s="36"/>
    </row>
    <row r="243" spans="1:5" ht="14.25" customHeight="1" x14ac:dyDescent="0.25">
      <c r="A243" s="7"/>
      <c r="B243" s="35"/>
      <c r="C243" s="36"/>
      <c r="D243" s="36"/>
      <c r="E243" s="36"/>
    </row>
    <row r="244" spans="1:5" ht="14.25" customHeight="1" x14ac:dyDescent="0.25">
      <c r="A244" s="7"/>
      <c r="B244" s="35"/>
      <c r="C244" s="36"/>
      <c r="D244" s="36"/>
      <c r="E244" s="36"/>
    </row>
    <row r="245" spans="1:5" ht="14.25" customHeight="1" x14ac:dyDescent="0.25">
      <c r="A245" s="7"/>
      <c r="B245" s="35"/>
      <c r="C245" s="36"/>
      <c r="D245" s="36"/>
      <c r="E245" s="36"/>
    </row>
    <row r="246" spans="1:5" ht="14.25" customHeight="1" x14ac:dyDescent="0.25">
      <c r="A246" s="7"/>
      <c r="B246" s="35"/>
      <c r="C246" s="36"/>
      <c r="D246" s="36"/>
      <c r="E246" s="36"/>
    </row>
    <row r="247" spans="1:5" ht="14.25" customHeight="1" x14ac:dyDescent="0.25">
      <c r="A247" s="7"/>
      <c r="B247" s="35"/>
      <c r="C247" s="36"/>
      <c r="D247" s="36"/>
      <c r="E247" s="36"/>
    </row>
    <row r="248" spans="1:5" ht="14.25" customHeight="1" x14ac:dyDescent="0.25">
      <c r="A248" s="7"/>
      <c r="B248" s="35"/>
      <c r="C248" s="36"/>
      <c r="D248" s="36"/>
      <c r="E248" s="36"/>
    </row>
    <row r="249" spans="1:5" ht="14.25" customHeight="1" x14ac:dyDescent="0.25">
      <c r="A249" s="7"/>
      <c r="B249" s="35"/>
      <c r="C249" s="36"/>
      <c r="D249" s="36"/>
      <c r="E249" s="36"/>
    </row>
    <row r="250" spans="1:5" ht="14.25" customHeight="1" x14ac:dyDescent="0.25">
      <c r="A250" s="7"/>
      <c r="B250" s="35"/>
      <c r="C250" s="36"/>
      <c r="D250" s="36"/>
      <c r="E250" s="36"/>
    </row>
    <row r="251" spans="1:5" ht="14.25" customHeight="1" x14ac:dyDescent="0.25">
      <c r="A251" s="7"/>
      <c r="B251" s="35"/>
      <c r="C251" s="36"/>
      <c r="D251" s="36"/>
      <c r="E251" s="36"/>
    </row>
    <row r="252" spans="1:5" ht="14.25" customHeight="1" x14ac:dyDescent="0.25">
      <c r="A252" s="7"/>
      <c r="B252" s="35"/>
      <c r="C252" s="36"/>
      <c r="D252" s="36"/>
      <c r="E252" s="36"/>
    </row>
    <row r="253" spans="1:5" ht="14.25" customHeight="1" x14ac:dyDescent="0.25">
      <c r="A253" s="7"/>
      <c r="B253" s="35"/>
      <c r="C253" s="36"/>
      <c r="D253" s="36"/>
      <c r="E253" s="36"/>
    </row>
    <row r="254" spans="1:5" ht="14.25" customHeight="1" x14ac:dyDescent="0.25">
      <c r="A254" s="7"/>
      <c r="B254" s="35"/>
      <c r="C254" s="36"/>
      <c r="D254" s="36"/>
      <c r="E254" s="36"/>
    </row>
    <row r="255" spans="1:5" ht="14.25" customHeight="1" x14ac:dyDescent="0.25">
      <c r="A255" s="7"/>
      <c r="B255" s="35"/>
      <c r="C255" s="36"/>
      <c r="D255" s="36"/>
      <c r="E255" s="36"/>
    </row>
    <row r="256" spans="1:5" ht="14.25" customHeight="1" x14ac:dyDescent="0.25">
      <c r="A256" s="7"/>
      <c r="B256" s="35"/>
      <c r="C256" s="36"/>
      <c r="D256" s="36"/>
      <c r="E256" s="36"/>
    </row>
    <row r="257" spans="1:5" ht="14.25" customHeight="1" x14ac:dyDescent="0.25">
      <c r="A257" s="7"/>
      <c r="B257" s="35"/>
      <c r="C257" s="36"/>
      <c r="D257" s="36"/>
      <c r="E257" s="36"/>
    </row>
    <row r="258" spans="1:5" ht="14.25" customHeight="1" x14ac:dyDescent="0.25">
      <c r="A258" s="7"/>
      <c r="B258" s="35"/>
      <c r="C258" s="36"/>
      <c r="D258" s="36"/>
      <c r="E258" s="36"/>
    </row>
    <row r="259" spans="1:5" ht="14.25" customHeight="1" x14ac:dyDescent="0.25">
      <c r="A259" s="7"/>
      <c r="B259" s="35"/>
      <c r="C259" s="36"/>
      <c r="D259" s="36"/>
      <c r="E259" s="36"/>
    </row>
    <row r="260" spans="1:5" ht="14.25" customHeight="1" x14ac:dyDescent="0.25">
      <c r="A260" s="7"/>
      <c r="B260" s="35"/>
      <c r="C260" s="36"/>
      <c r="D260" s="36"/>
      <c r="E260" s="36"/>
    </row>
    <row r="261" spans="1:5" ht="14.25" customHeight="1" x14ac:dyDescent="0.25">
      <c r="A261" s="7"/>
      <c r="B261" s="35"/>
      <c r="C261" s="36"/>
      <c r="D261" s="36"/>
      <c r="E261" s="36"/>
    </row>
    <row r="262" spans="1:5" ht="14.25" customHeight="1" x14ac:dyDescent="0.25">
      <c r="A262" s="7"/>
      <c r="B262" s="35"/>
      <c r="C262" s="36"/>
      <c r="D262" s="36"/>
      <c r="E262" s="36"/>
    </row>
    <row r="263" spans="1:5" ht="14.25" customHeight="1" x14ac:dyDescent="0.25">
      <c r="A263" s="7"/>
      <c r="B263" s="35"/>
      <c r="C263" s="36"/>
      <c r="D263" s="36"/>
      <c r="E263" s="36"/>
    </row>
    <row r="264" spans="1:5" ht="14.25" customHeight="1" x14ac:dyDescent="0.25">
      <c r="A264" s="7"/>
      <c r="B264" s="35"/>
      <c r="C264" s="36"/>
      <c r="D264" s="36"/>
      <c r="E264" s="36"/>
    </row>
    <row r="265" spans="1:5" ht="14.25" customHeight="1" x14ac:dyDescent="0.25">
      <c r="A265" s="7"/>
      <c r="B265" s="35"/>
      <c r="C265" s="36"/>
      <c r="D265" s="36"/>
      <c r="E265" s="36"/>
    </row>
    <row r="266" spans="1:5" ht="14.25" customHeight="1" x14ac:dyDescent="0.25">
      <c r="A266" s="7"/>
      <c r="B266" s="35"/>
      <c r="C266" s="36"/>
      <c r="D266" s="36"/>
      <c r="E266" s="36"/>
    </row>
    <row r="267" spans="1:5" ht="14.25" customHeight="1" x14ac:dyDescent="0.25">
      <c r="A267" s="7"/>
      <c r="B267" s="35"/>
      <c r="C267" s="36"/>
      <c r="D267" s="36"/>
      <c r="E267" s="36"/>
    </row>
    <row r="268" spans="1:5" ht="14.25" customHeight="1" x14ac:dyDescent="0.25">
      <c r="A268" s="7"/>
      <c r="B268" s="35"/>
      <c r="C268" s="36"/>
      <c r="D268" s="36"/>
      <c r="E268" s="36"/>
    </row>
    <row r="269" spans="1:5" ht="14.25" customHeight="1" x14ac:dyDescent="0.25">
      <c r="A269" s="7"/>
      <c r="B269" s="35"/>
      <c r="C269" s="36"/>
      <c r="D269" s="36"/>
      <c r="E269" s="36"/>
    </row>
    <row r="270" spans="1:5" ht="14.25" customHeight="1" x14ac:dyDescent="0.25">
      <c r="A270" s="7"/>
      <c r="B270" s="35"/>
      <c r="C270" s="36"/>
      <c r="D270" s="36"/>
      <c r="E270" s="36"/>
    </row>
    <row r="271" spans="1:5" ht="14.25" customHeight="1" x14ac:dyDescent="0.25">
      <c r="A271" s="7"/>
      <c r="B271" s="35"/>
      <c r="C271" s="36"/>
      <c r="D271" s="36"/>
      <c r="E271" s="36"/>
    </row>
    <row r="272" spans="1:5" ht="14.25" customHeight="1" x14ac:dyDescent="0.25">
      <c r="A272" s="7"/>
      <c r="B272" s="35"/>
      <c r="C272" s="36"/>
      <c r="D272" s="36"/>
      <c r="E272" s="36"/>
    </row>
    <row r="273" spans="1:5" ht="14.25" customHeight="1" x14ac:dyDescent="0.25">
      <c r="A273" s="7"/>
      <c r="B273" s="35"/>
      <c r="C273" s="36"/>
      <c r="D273" s="36"/>
      <c r="E273" s="36"/>
    </row>
    <row r="274" spans="1:5" ht="14.25" customHeight="1" x14ac:dyDescent="0.25">
      <c r="A274" s="7"/>
      <c r="B274" s="35"/>
      <c r="C274" s="36"/>
      <c r="D274" s="36"/>
      <c r="E274" s="36"/>
    </row>
    <row r="275" spans="1:5" ht="14.25" customHeight="1" x14ac:dyDescent="0.25">
      <c r="A275" s="7"/>
      <c r="B275" s="35"/>
      <c r="C275" s="36"/>
      <c r="D275" s="36"/>
      <c r="E275" s="36"/>
    </row>
    <row r="276" spans="1:5" ht="14.25" customHeight="1" x14ac:dyDescent="0.25">
      <c r="A276" s="7"/>
      <c r="B276" s="35"/>
      <c r="C276" s="36"/>
      <c r="D276" s="36"/>
      <c r="E276" s="36"/>
    </row>
    <row r="277" spans="1:5" ht="14.25" customHeight="1" x14ac:dyDescent="0.25">
      <c r="A277" s="7"/>
      <c r="B277" s="35"/>
      <c r="C277" s="36"/>
      <c r="D277" s="36"/>
      <c r="E277" s="36"/>
    </row>
    <row r="278" spans="1:5" ht="14.25" customHeight="1" x14ac:dyDescent="0.25">
      <c r="A278" s="7"/>
      <c r="B278" s="35"/>
      <c r="C278" s="36"/>
      <c r="D278" s="36"/>
      <c r="E278" s="36"/>
    </row>
    <row r="279" spans="1:5" ht="14.25" customHeight="1" x14ac:dyDescent="0.25">
      <c r="A279" s="7"/>
      <c r="B279" s="35"/>
      <c r="C279" s="36"/>
      <c r="D279" s="36"/>
      <c r="E279" s="36"/>
    </row>
    <row r="280" spans="1:5" ht="14.25" customHeight="1" x14ac:dyDescent="0.25">
      <c r="A280" s="7"/>
      <c r="B280" s="35"/>
      <c r="C280" s="36"/>
      <c r="D280" s="36"/>
      <c r="E280" s="36"/>
    </row>
    <row r="281" spans="1:5" ht="14.25" customHeight="1" x14ac:dyDescent="0.25">
      <c r="A281" s="7"/>
      <c r="B281" s="35"/>
      <c r="C281" s="36"/>
      <c r="D281" s="36"/>
      <c r="E281" s="36"/>
    </row>
    <row r="282" spans="1:5" ht="14.25" customHeight="1" x14ac:dyDescent="0.25">
      <c r="A282" s="7"/>
      <c r="B282" s="35"/>
      <c r="C282" s="36"/>
      <c r="D282" s="36"/>
      <c r="E282" s="36"/>
    </row>
    <row r="283" spans="1:5" ht="14.25" customHeight="1" x14ac:dyDescent="0.25">
      <c r="A283" s="7"/>
      <c r="B283" s="35"/>
      <c r="C283" s="36"/>
      <c r="D283" s="36"/>
      <c r="E283" s="36"/>
    </row>
    <row r="284" spans="1:5" ht="14.25" customHeight="1" x14ac:dyDescent="0.25">
      <c r="A284" s="7"/>
      <c r="B284" s="35"/>
      <c r="C284" s="36"/>
      <c r="D284" s="36"/>
      <c r="E284" s="36"/>
    </row>
    <row r="285" spans="1:5" ht="14.25" customHeight="1" x14ac:dyDescent="0.25">
      <c r="A285" s="7"/>
      <c r="B285" s="35"/>
      <c r="C285" s="36"/>
      <c r="D285" s="36"/>
      <c r="E285" s="36"/>
    </row>
    <row r="286" spans="1:5" ht="14.25" customHeight="1" x14ac:dyDescent="0.25">
      <c r="A286" s="7"/>
      <c r="B286" s="35"/>
      <c r="C286" s="36"/>
      <c r="D286" s="36"/>
      <c r="E286" s="36"/>
    </row>
    <row r="287" spans="1:5" ht="14.25" customHeight="1" x14ac:dyDescent="0.25">
      <c r="A287" s="7"/>
      <c r="B287" s="35"/>
      <c r="C287" s="36"/>
      <c r="D287" s="36"/>
      <c r="E287" s="36"/>
    </row>
    <row r="288" spans="1:5" ht="14.25" customHeight="1" x14ac:dyDescent="0.25">
      <c r="A288" s="7"/>
      <c r="B288" s="35"/>
      <c r="C288" s="36"/>
      <c r="D288" s="36"/>
      <c r="E288" s="36"/>
    </row>
    <row r="289" spans="1:5" ht="14.25" customHeight="1" x14ac:dyDescent="0.25">
      <c r="A289" s="7"/>
      <c r="B289" s="35"/>
      <c r="C289" s="36"/>
      <c r="D289" s="36"/>
      <c r="E289" s="36"/>
    </row>
    <row r="290" spans="1:5" ht="14.25" customHeight="1" x14ac:dyDescent="0.25">
      <c r="A290" s="7"/>
      <c r="B290" s="35"/>
      <c r="C290" s="36"/>
      <c r="D290" s="36"/>
      <c r="E290" s="36"/>
    </row>
    <row r="291" spans="1:5" ht="14.25" customHeight="1" x14ac:dyDescent="0.25">
      <c r="A291" s="7"/>
      <c r="B291" s="35"/>
      <c r="C291" s="36"/>
      <c r="D291" s="36"/>
      <c r="E291" s="36"/>
    </row>
    <row r="292" spans="1:5" ht="14.25" customHeight="1" x14ac:dyDescent="0.25">
      <c r="A292" s="7"/>
      <c r="B292" s="35"/>
      <c r="C292" s="36"/>
      <c r="D292" s="36"/>
      <c r="E292" s="36"/>
    </row>
    <row r="293" spans="1:5" ht="14.25" customHeight="1" x14ac:dyDescent="0.25">
      <c r="A293" s="7"/>
      <c r="B293" s="35"/>
      <c r="C293" s="36"/>
      <c r="D293" s="36"/>
      <c r="E293" s="36"/>
    </row>
    <row r="294" spans="1:5" ht="14.25" customHeight="1" x14ac:dyDescent="0.25">
      <c r="A294" s="7"/>
      <c r="B294" s="35"/>
      <c r="C294" s="36"/>
      <c r="D294" s="36"/>
      <c r="E294" s="36"/>
    </row>
    <row r="295" spans="1:5" ht="14.25" customHeight="1" x14ac:dyDescent="0.25">
      <c r="A295" s="7"/>
      <c r="B295" s="35"/>
      <c r="C295" s="36"/>
      <c r="D295" s="36"/>
      <c r="E295" s="36"/>
    </row>
    <row r="296" spans="1:5" ht="14.25" customHeight="1" x14ac:dyDescent="0.25">
      <c r="A296" s="7"/>
      <c r="B296" s="35"/>
      <c r="C296" s="36"/>
      <c r="D296" s="36"/>
      <c r="E296" s="36"/>
    </row>
    <row r="297" spans="1:5" ht="14.25" customHeight="1" x14ac:dyDescent="0.25">
      <c r="A297" s="7"/>
      <c r="B297" s="35"/>
      <c r="C297" s="36"/>
      <c r="D297" s="36"/>
      <c r="E297" s="36"/>
    </row>
    <row r="298" spans="1:5" ht="14.25" customHeight="1" x14ac:dyDescent="0.25">
      <c r="A298" s="7"/>
      <c r="B298" s="35"/>
      <c r="C298" s="36"/>
      <c r="D298" s="36"/>
      <c r="E298" s="36"/>
    </row>
    <row r="299" spans="1:5" ht="14.25" customHeight="1" x14ac:dyDescent="0.25">
      <c r="A299" s="7"/>
      <c r="B299" s="35"/>
      <c r="C299" s="36"/>
      <c r="D299" s="36"/>
      <c r="E299" s="36"/>
    </row>
    <row r="300" spans="1:5" ht="14.25" customHeight="1" x14ac:dyDescent="0.25">
      <c r="A300" s="7"/>
      <c r="B300" s="35"/>
      <c r="C300" s="36"/>
      <c r="D300" s="36"/>
      <c r="E300" s="36"/>
    </row>
    <row r="301" spans="1:5" ht="14.25" customHeight="1" x14ac:dyDescent="0.25">
      <c r="A301" s="7"/>
      <c r="B301" s="35"/>
      <c r="C301" s="36"/>
      <c r="D301" s="36"/>
      <c r="E301" s="36"/>
    </row>
    <row r="302" spans="1:5" ht="14.25" customHeight="1" x14ac:dyDescent="0.25">
      <c r="A302" s="7"/>
      <c r="B302" s="35"/>
      <c r="C302" s="36"/>
      <c r="D302" s="36"/>
      <c r="E302" s="36"/>
    </row>
    <row r="303" spans="1:5" ht="14.25" customHeight="1" x14ac:dyDescent="0.25">
      <c r="A303" s="7"/>
      <c r="B303" s="35"/>
      <c r="C303" s="36"/>
      <c r="D303" s="36"/>
      <c r="E303" s="36"/>
    </row>
    <row r="304" spans="1:5" ht="14.25" customHeight="1" x14ac:dyDescent="0.25">
      <c r="A304" s="7"/>
      <c r="B304" s="35"/>
      <c r="C304" s="36"/>
      <c r="D304" s="36"/>
      <c r="E304" s="36"/>
    </row>
    <row r="305" spans="1:5" ht="14.25" customHeight="1" x14ac:dyDescent="0.25">
      <c r="A305" s="7"/>
      <c r="B305" s="35"/>
      <c r="C305" s="36"/>
      <c r="D305" s="36"/>
      <c r="E305" s="36"/>
    </row>
    <row r="306" spans="1:5" ht="14.25" customHeight="1" x14ac:dyDescent="0.25">
      <c r="A306" s="7"/>
      <c r="B306" s="35"/>
      <c r="C306" s="36"/>
      <c r="D306" s="36"/>
      <c r="E306" s="36"/>
    </row>
    <row r="307" spans="1:5" ht="14.25" customHeight="1" x14ac:dyDescent="0.25">
      <c r="A307" s="7"/>
      <c r="B307" s="35"/>
      <c r="C307" s="36"/>
      <c r="D307" s="36"/>
      <c r="E307" s="36"/>
    </row>
    <row r="308" spans="1:5" ht="14.25" customHeight="1" x14ac:dyDescent="0.25">
      <c r="A308" s="7"/>
      <c r="B308" s="35"/>
      <c r="C308" s="36"/>
      <c r="D308" s="36"/>
      <c r="E308" s="36"/>
    </row>
    <row r="309" spans="1:5" ht="14.25" customHeight="1" x14ac:dyDescent="0.25">
      <c r="A309" s="7"/>
      <c r="B309" s="35"/>
      <c r="C309" s="36"/>
      <c r="D309" s="36"/>
      <c r="E309" s="36"/>
    </row>
    <row r="310" spans="1:5" ht="14.25" customHeight="1" x14ac:dyDescent="0.25">
      <c r="A310" s="7"/>
      <c r="B310" s="35"/>
      <c r="C310" s="36"/>
      <c r="D310" s="36"/>
      <c r="E310" s="36"/>
    </row>
    <row r="311" spans="1:5" ht="14.25" customHeight="1" x14ac:dyDescent="0.25">
      <c r="A311" s="7"/>
      <c r="B311" s="35"/>
      <c r="C311" s="36"/>
      <c r="D311" s="36"/>
      <c r="E311" s="36"/>
    </row>
    <row r="312" spans="1:5" ht="14.25" customHeight="1" x14ac:dyDescent="0.25">
      <c r="A312" s="7"/>
      <c r="B312" s="35"/>
      <c r="C312" s="36"/>
      <c r="D312" s="36"/>
      <c r="E312" s="36"/>
    </row>
    <row r="313" spans="1:5" ht="14.25" customHeight="1" x14ac:dyDescent="0.25">
      <c r="A313" s="7"/>
      <c r="B313" s="35"/>
      <c r="C313" s="36"/>
      <c r="D313" s="36"/>
      <c r="E313" s="36"/>
    </row>
    <row r="314" spans="1:5" ht="14.25" customHeight="1" x14ac:dyDescent="0.25">
      <c r="A314" s="7"/>
      <c r="B314" s="35"/>
      <c r="C314" s="36"/>
      <c r="D314" s="36"/>
      <c r="E314" s="36"/>
    </row>
    <row r="315" spans="1:5" ht="14.25" customHeight="1" x14ac:dyDescent="0.25">
      <c r="A315" s="7"/>
      <c r="B315" s="35"/>
      <c r="C315" s="36"/>
      <c r="D315" s="36"/>
      <c r="E315" s="36"/>
    </row>
    <row r="316" spans="1:5" ht="14.25" customHeight="1" x14ac:dyDescent="0.25">
      <c r="A316" s="7"/>
      <c r="B316" s="35"/>
      <c r="C316" s="36"/>
      <c r="D316" s="36"/>
      <c r="E316" s="36"/>
    </row>
    <row r="317" spans="1:5" ht="14.25" customHeight="1" x14ac:dyDescent="0.25">
      <c r="A317" s="7"/>
      <c r="B317" s="35"/>
      <c r="C317" s="36"/>
      <c r="D317" s="36"/>
      <c r="E317" s="36"/>
    </row>
    <row r="318" spans="1:5" ht="14.25" customHeight="1" x14ac:dyDescent="0.25">
      <c r="A318" s="7"/>
      <c r="B318" s="35"/>
      <c r="C318" s="36"/>
      <c r="D318" s="36"/>
      <c r="E318" s="36"/>
    </row>
    <row r="319" spans="1:5" ht="14.25" customHeight="1" x14ac:dyDescent="0.25">
      <c r="A319" s="7"/>
      <c r="B319" s="35"/>
      <c r="C319" s="36"/>
      <c r="D319" s="36"/>
      <c r="E319" s="36"/>
    </row>
    <row r="320" spans="1:5" ht="14.25" customHeight="1" x14ac:dyDescent="0.25">
      <c r="A320" s="7"/>
      <c r="B320" s="35"/>
      <c r="C320" s="36"/>
      <c r="D320" s="36"/>
      <c r="E320" s="36"/>
    </row>
    <row r="321" spans="1:5" ht="14.25" customHeight="1" x14ac:dyDescent="0.25">
      <c r="A321" s="7"/>
      <c r="B321" s="35"/>
      <c r="C321" s="36"/>
      <c r="D321" s="36"/>
      <c r="E321" s="36"/>
    </row>
    <row r="322" spans="1:5" ht="14.25" customHeight="1" x14ac:dyDescent="0.25">
      <c r="A322" s="7"/>
      <c r="B322" s="35"/>
      <c r="C322" s="36"/>
      <c r="D322" s="36"/>
      <c r="E322" s="36"/>
    </row>
    <row r="323" spans="1:5" ht="14.25" customHeight="1" x14ac:dyDescent="0.25">
      <c r="A323" s="7"/>
      <c r="B323" s="35"/>
      <c r="C323" s="36"/>
      <c r="D323" s="36"/>
      <c r="E323" s="36"/>
    </row>
    <row r="324" spans="1:5" ht="14.25" customHeight="1" x14ac:dyDescent="0.25">
      <c r="A324" s="7"/>
      <c r="B324" s="35"/>
      <c r="C324" s="36"/>
      <c r="D324" s="36"/>
      <c r="E324" s="36"/>
    </row>
    <row r="325" spans="1:5" ht="14.25" customHeight="1" x14ac:dyDescent="0.25">
      <c r="A325" s="7"/>
      <c r="B325" s="35"/>
      <c r="C325" s="36"/>
      <c r="D325" s="36"/>
      <c r="E325" s="36"/>
    </row>
    <row r="326" spans="1:5" ht="14.25" customHeight="1" x14ac:dyDescent="0.25">
      <c r="A326" s="7"/>
      <c r="B326" s="35"/>
      <c r="C326" s="36"/>
      <c r="D326" s="36"/>
      <c r="E326" s="36"/>
    </row>
    <row r="327" spans="1:5" ht="14.25" customHeight="1" x14ac:dyDescent="0.25">
      <c r="A327" s="7"/>
      <c r="B327" s="35"/>
      <c r="C327" s="36"/>
      <c r="D327" s="36"/>
      <c r="E327" s="36"/>
    </row>
    <row r="328" spans="1:5" ht="14.25" customHeight="1" x14ac:dyDescent="0.25">
      <c r="A328" s="7"/>
      <c r="B328" s="35"/>
      <c r="C328" s="36"/>
      <c r="D328" s="36"/>
      <c r="E328" s="36"/>
    </row>
    <row r="329" spans="1:5" ht="14.25" customHeight="1" x14ac:dyDescent="0.25">
      <c r="A329" s="7"/>
      <c r="B329" s="35"/>
      <c r="C329" s="36"/>
      <c r="D329" s="36"/>
      <c r="E329" s="36"/>
    </row>
    <row r="330" spans="1:5" ht="14.25" customHeight="1" x14ac:dyDescent="0.25">
      <c r="A330" s="7"/>
      <c r="B330" s="35"/>
      <c r="C330" s="36"/>
      <c r="D330" s="36"/>
      <c r="E330" s="36"/>
    </row>
    <row r="331" spans="1:5" ht="14.25" customHeight="1" x14ac:dyDescent="0.25">
      <c r="A331" s="7"/>
      <c r="B331" s="35"/>
      <c r="C331" s="36"/>
      <c r="D331" s="36"/>
      <c r="E331" s="36"/>
    </row>
    <row r="332" spans="1:5" ht="14.25" customHeight="1" x14ac:dyDescent="0.25">
      <c r="A332" s="7"/>
      <c r="B332" s="35"/>
      <c r="C332" s="36"/>
      <c r="D332" s="36"/>
      <c r="E332" s="36"/>
    </row>
    <row r="333" spans="1:5" ht="14.25" customHeight="1" x14ac:dyDescent="0.25">
      <c r="A333" s="7"/>
      <c r="B333" s="35"/>
      <c r="C333" s="36"/>
      <c r="D333" s="36"/>
      <c r="E333" s="36"/>
    </row>
    <row r="334" spans="1:5" ht="14.25" customHeight="1" x14ac:dyDescent="0.25">
      <c r="A334" s="7"/>
      <c r="B334" s="35"/>
      <c r="C334" s="36"/>
      <c r="D334" s="36"/>
      <c r="E334" s="36"/>
    </row>
    <row r="335" spans="1:5" ht="14.25" customHeight="1" x14ac:dyDescent="0.25">
      <c r="A335" s="7"/>
      <c r="B335" s="35"/>
      <c r="C335" s="36"/>
      <c r="D335" s="36"/>
      <c r="E335" s="36"/>
    </row>
    <row r="336" spans="1:5" ht="14.25" customHeight="1" x14ac:dyDescent="0.25">
      <c r="A336" s="7"/>
      <c r="B336" s="35"/>
      <c r="C336" s="36"/>
      <c r="D336" s="36"/>
      <c r="E336" s="36"/>
    </row>
    <row r="337" spans="1:5" ht="14.25" customHeight="1" x14ac:dyDescent="0.25">
      <c r="A337" s="7"/>
      <c r="B337" s="35"/>
      <c r="C337" s="36"/>
      <c r="D337" s="36"/>
      <c r="E337" s="36"/>
    </row>
    <row r="338" spans="1:5" ht="14.25" customHeight="1" x14ac:dyDescent="0.25">
      <c r="A338" s="7"/>
      <c r="B338" s="35"/>
      <c r="C338" s="36"/>
      <c r="D338" s="36"/>
      <c r="E338" s="36"/>
    </row>
    <row r="339" spans="1:5" ht="14.25" customHeight="1" x14ac:dyDescent="0.25">
      <c r="A339" s="7"/>
      <c r="B339" s="35"/>
      <c r="C339" s="36"/>
      <c r="D339" s="36"/>
      <c r="E339" s="36"/>
    </row>
    <row r="340" spans="1:5" ht="14.25" customHeight="1" x14ac:dyDescent="0.25">
      <c r="A340" s="7"/>
      <c r="B340" s="35"/>
      <c r="C340" s="36"/>
      <c r="D340" s="36"/>
      <c r="E340" s="36"/>
    </row>
    <row r="341" spans="1:5" ht="14.25" customHeight="1" x14ac:dyDescent="0.25">
      <c r="A341" s="7"/>
      <c r="B341" s="35"/>
      <c r="C341" s="36"/>
      <c r="D341" s="36"/>
      <c r="E341" s="36"/>
    </row>
    <row r="342" spans="1:5" ht="14.25" customHeight="1" x14ac:dyDescent="0.25">
      <c r="A342" s="7"/>
      <c r="B342" s="35"/>
      <c r="C342" s="36"/>
      <c r="D342" s="36"/>
      <c r="E342" s="36"/>
    </row>
    <row r="343" spans="1:5" ht="14.25" customHeight="1" x14ac:dyDescent="0.25">
      <c r="A343" s="7"/>
      <c r="B343" s="35"/>
      <c r="C343" s="36"/>
      <c r="D343" s="36"/>
      <c r="E343" s="36"/>
    </row>
    <row r="344" spans="1:5" ht="14.25" customHeight="1" x14ac:dyDescent="0.25">
      <c r="A344" s="7"/>
      <c r="B344" s="35"/>
      <c r="C344" s="36"/>
      <c r="D344" s="36"/>
      <c r="E344" s="36"/>
    </row>
    <row r="345" spans="1:5" ht="14.25" customHeight="1" x14ac:dyDescent="0.25">
      <c r="A345" s="7"/>
      <c r="B345" s="35"/>
      <c r="C345" s="36"/>
      <c r="D345" s="36"/>
      <c r="E345" s="36"/>
    </row>
    <row r="346" spans="1:5" ht="14.25" customHeight="1" x14ac:dyDescent="0.25">
      <c r="A346" s="7"/>
      <c r="B346" s="35"/>
      <c r="C346" s="36"/>
      <c r="D346" s="36"/>
      <c r="E346" s="36"/>
    </row>
    <row r="347" spans="1:5" ht="14.25" customHeight="1" x14ac:dyDescent="0.25">
      <c r="A347" s="7"/>
      <c r="B347" s="35"/>
      <c r="C347" s="36"/>
      <c r="D347" s="36"/>
      <c r="E347" s="36"/>
    </row>
    <row r="348" spans="1:5" ht="14.25" customHeight="1" x14ac:dyDescent="0.25">
      <c r="A348" s="7"/>
      <c r="B348" s="35"/>
      <c r="C348" s="36"/>
      <c r="D348" s="36"/>
      <c r="E348" s="36"/>
    </row>
    <row r="349" spans="1:5" ht="14.25" customHeight="1" x14ac:dyDescent="0.25">
      <c r="A349" s="7"/>
      <c r="B349" s="35"/>
      <c r="C349" s="36"/>
      <c r="D349" s="36"/>
      <c r="E349" s="36"/>
    </row>
    <row r="350" spans="1:5" ht="14.25" customHeight="1" x14ac:dyDescent="0.25">
      <c r="A350" s="7"/>
      <c r="B350" s="35"/>
      <c r="C350" s="36"/>
      <c r="D350" s="36"/>
      <c r="E350" s="36"/>
    </row>
    <row r="351" spans="1:5" ht="14.25" customHeight="1" x14ac:dyDescent="0.25">
      <c r="A351" s="7"/>
      <c r="B351" s="35"/>
      <c r="C351" s="36"/>
      <c r="D351" s="36"/>
      <c r="E351" s="36"/>
    </row>
    <row r="352" spans="1:5" ht="14.25" customHeight="1" x14ac:dyDescent="0.25">
      <c r="A352" s="7"/>
      <c r="B352" s="35"/>
      <c r="C352" s="36"/>
      <c r="D352" s="36"/>
      <c r="E352" s="36"/>
    </row>
    <row r="353" spans="1:5" ht="14.25" customHeight="1" x14ac:dyDescent="0.25">
      <c r="A353" s="7"/>
      <c r="B353" s="35"/>
      <c r="C353" s="36"/>
      <c r="D353" s="36"/>
      <c r="E353" s="36"/>
    </row>
    <row r="354" spans="1:5" ht="14.25" customHeight="1" x14ac:dyDescent="0.25">
      <c r="A354" s="7"/>
      <c r="B354" s="35"/>
      <c r="C354" s="36"/>
      <c r="D354" s="36"/>
      <c r="E354" s="36"/>
    </row>
    <row r="355" spans="1:5" ht="14.25" customHeight="1" x14ac:dyDescent="0.25">
      <c r="A355" s="7"/>
      <c r="B355" s="35"/>
      <c r="C355" s="36"/>
      <c r="D355" s="36"/>
      <c r="E355" s="36"/>
    </row>
    <row r="356" spans="1:5" ht="14.25" customHeight="1" x14ac:dyDescent="0.25">
      <c r="A356" s="7"/>
      <c r="B356" s="35"/>
      <c r="C356" s="36"/>
      <c r="D356" s="36"/>
      <c r="E356" s="36"/>
    </row>
    <row r="357" spans="1:5" ht="14.25" customHeight="1" x14ac:dyDescent="0.25">
      <c r="A357" s="7"/>
      <c r="B357" s="35"/>
      <c r="C357" s="36"/>
      <c r="D357" s="36"/>
      <c r="E357" s="36"/>
    </row>
    <row r="358" spans="1:5" ht="14.25" customHeight="1" x14ac:dyDescent="0.25">
      <c r="A358" s="7"/>
      <c r="B358" s="35"/>
      <c r="C358" s="36"/>
      <c r="D358" s="36"/>
      <c r="E358" s="36"/>
    </row>
    <row r="359" spans="1:5" ht="14.25" customHeight="1" x14ac:dyDescent="0.25">
      <c r="A359" s="7"/>
      <c r="B359" s="35"/>
      <c r="C359" s="36"/>
      <c r="D359" s="36"/>
      <c r="E359" s="36"/>
    </row>
    <row r="360" spans="1:5" ht="14.25" customHeight="1" x14ac:dyDescent="0.25">
      <c r="A360" s="7"/>
      <c r="B360" s="35"/>
      <c r="C360" s="36"/>
      <c r="D360" s="36"/>
      <c r="E360" s="36"/>
    </row>
    <row r="361" spans="1:5" ht="14.25" customHeight="1" x14ac:dyDescent="0.25">
      <c r="A361" s="7"/>
      <c r="B361" s="35"/>
      <c r="C361" s="36"/>
      <c r="D361" s="36"/>
      <c r="E361" s="36"/>
    </row>
    <row r="362" spans="1:5" ht="14.25" customHeight="1" x14ac:dyDescent="0.25">
      <c r="A362" s="7"/>
      <c r="B362" s="35"/>
      <c r="C362" s="36"/>
      <c r="D362" s="36"/>
      <c r="E362" s="36"/>
    </row>
    <row r="363" spans="1:5" ht="14.25" customHeight="1" x14ac:dyDescent="0.25">
      <c r="A363" s="7"/>
      <c r="B363" s="35"/>
      <c r="C363" s="36"/>
      <c r="D363" s="36"/>
      <c r="E363" s="36"/>
    </row>
    <row r="364" spans="1:5" ht="14.25" customHeight="1" x14ac:dyDescent="0.25">
      <c r="A364" s="7"/>
      <c r="B364" s="35"/>
      <c r="C364" s="36"/>
      <c r="D364" s="36"/>
      <c r="E364" s="36"/>
    </row>
    <row r="365" spans="1:5" ht="14.25" customHeight="1" x14ac:dyDescent="0.25">
      <c r="A365" s="7"/>
      <c r="B365" s="35"/>
      <c r="C365" s="36"/>
      <c r="D365" s="36"/>
      <c r="E365" s="36"/>
    </row>
    <row r="366" spans="1:5" ht="14.25" customHeight="1" x14ac:dyDescent="0.25">
      <c r="A366" s="7"/>
      <c r="B366" s="35"/>
      <c r="C366" s="36"/>
      <c r="D366" s="36"/>
      <c r="E366" s="36"/>
    </row>
    <row r="367" spans="1:5" ht="14.25" customHeight="1" x14ac:dyDescent="0.25">
      <c r="A367" s="7"/>
      <c r="B367" s="35"/>
      <c r="C367" s="36"/>
      <c r="D367" s="36"/>
      <c r="E367" s="36"/>
    </row>
    <row r="368" spans="1:5" ht="14.25" customHeight="1" x14ac:dyDescent="0.25">
      <c r="A368" s="7"/>
      <c r="B368" s="35"/>
      <c r="C368" s="36"/>
      <c r="D368" s="36"/>
      <c r="E368" s="36"/>
    </row>
    <row r="369" spans="1:5" ht="14.25" customHeight="1" x14ac:dyDescent="0.25">
      <c r="A369" s="7"/>
      <c r="B369" s="35"/>
      <c r="C369" s="36"/>
      <c r="D369" s="36"/>
      <c r="E369" s="36"/>
    </row>
    <row r="370" spans="1:5" ht="14.25" customHeight="1" x14ac:dyDescent="0.25">
      <c r="A370" s="7"/>
      <c r="B370" s="35"/>
      <c r="C370" s="36"/>
      <c r="D370" s="36"/>
      <c r="E370" s="36"/>
    </row>
    <row r="371" spans="1:5" ht="14.25" customHeight="1" x14ac:dyDescent="0.25">
      <c r="A371" s="7"/>
      <c r="B371" s="35"/>
      <c r="C371" s="36"/>
      <c r="D371" s="36"/>
      <c r="E371" s="36"/>
    </row>
    <row r="372" spans="1:5" ht="14.25" customHeight="1" x14ac:dyDescent="0.25">
      <c r="A372" s="7"/>
      <c r="B372" s="35"/>
      <c r="C372" s="36"/>
      <c r="D372" s="36"/>
      <c r="E372" s="36"/>
    </row>
    <row r="373" spans="1:5" ht="14.25" customHeight="1" x14ac:dyDescent="0.25">
      <c r="A373" s="7"/>
      <c r="B373" s="35"/>
      <c r="C373" s="36"/>
      <c r="D373" s="36"/>
      <c r="E373" s="36"/>
    </row>
    <row r="374" spans="1:5" ht="14.25" customHeight="1" x14ac:dyDescent="0.25">
      <c r="A374" s="7"/>
      <c r="B374" s="35"/>
      <c r="C374" s="36"/>
      <c r="D374" s="36"/>
      <c r="E374" s="36"/>
    </row>
    <row r="375" spans="1:5" ht="14.25" customHeight="1" x14ac:dyDescent="0.25">
      <c r="A375" s="7"/>
      <c r="B375" s="35"/>
      <c r="C375" s="36"/>
      <c r="D375" s="36"/>
      <c r="E375" s="36"/>
    </row>
    <row r="376" spans="1:5" ht="14.25" customHeight="1" x14ac:dyDescent="0.25">
      <c r="A376" s="7"/>
      <c r="B376" s="35"/>
      <c r="C376" s="36"/>
      <c r="D376" s="36"/>
      <c r="E376" s="36"/>
    </row>
    <row r="377" spans="1:5" ht="14.25" customHeight="1" x14ac:dyDescent="0.25">
      <c r="A377" s="7"/>
      <c r="B377" s="35"/>
      <c r="C377" s="36"/>
      <c r="D377" s="36"/>
      <c r="E377" s="36"/>
    </row>
    <row r="378" spans="1:5" ht="14.25" customHeight="1" x14ac:dyDescent="0.25">
      <c r="A378" s="7"/>
      <c r="B378" s="35"/>
      <c r="C378" s="36"/>
      <c r="D378" s="36"/>
      <c r="E378" s="36"/>
    </row>
    <row r="379" spans="1:5" ht="14.25" customHeight="1" x14ac:dyDescent="0.25">
      <c r="A379" s="7"/>
      <c r="B379" s="35"/>
      <c r="C379" s="36"/>
      <c r="D379" s="36"/>
      <c r="E379" s="36"/>
    </row>
    <row r="380" spans="1:5" ht="14.25" customHeight="1" x14ac:dyDescent="0.25">
      <c r="A380" s="7"/>
      <c r="B380" s="35"/>
      <c r="C380" s="36"/>
      <c r="D380" s="36"/>
      <c r="E380" s="36"/>
    </row>
    <row r="381" spans="1:5" ht="14.25" customHeight="1" x14ac:dyDescent="0.25">
      <c r="A381" s="7"/>
      <c r="B381" s="35"/>
      <c r="C381" s="36"/>
      <c r="D381" s="36"/>
      <c r="E381" s="36"/>
    </row>
    <row r="382" spans="1:5" ht="14.25" customHeight="1" x14ac:dyDescent="0.25">
      <c r="A382" s="7"/>
      <c r="B382" s="35"/>
      <c r="C382" s="36"/>
      <c r="D382" s="36"/>
      <c r="E382" s="36"/>
    </row>
    <row r="383" spans="1:5" ht="14.25" customHeight="1" x14ac:dyDescent="0.25">
      <c r="A383" s="7"/>
      <c r="B383" s="35"/>
      <c r="C383" s="36"/>
      <c r="D383" s="36"/>
      <c r="E383" s="36"/>
    </row>
    <row r="384" spans="1:5" ht="14.25" customHeight="1" x14ac:dyDescent="0.25">
      <c r="A384" s="7"/>
      <c r="B384" s="35"/>
      <c r="C384" s="36"/>
      <c r="D384" s="36"/>
      <c r="E384" s="36"/>
    </row>
    <row r="385" spans="1:5" ht="14.25" customHeight="1" x14ac:dyDescent="0.25">
      <c r="A385" s="7"/>
      <c r="B385" s="35"/>
      <c r="C385" s="36"/>
      <c r="D385" s="36"/>
      <c r="E385" s="36"/>
    </row>
    <row r="386" spans="1:5" ht="14.25" customHeight="1" x14ac:dyDescent="0.25">
      <c r="A386" s="7"/>
      <c r="B386" s="35"/>
      <c r="C386" s="36"/>
      <c r="D386" s="36"/>
      <c r="E386" s="36"/>
    </row>
    <row r="387" spans="1:5" ht="14.25" customHeight="1" x14ac:dyDescent="0.25">
      <c r="A387" s="7"/>
      <c r="B387" s="35"/>
      <c r="C387" s="36"/>
      <c r="D387" s="36"/>
      <c r="E387" s="36"/>
    </row>
    <row r="388" spans="1:5" ht="14.25" customHeight="1" x14ac:dyDescent="0.25">
      <c r="A388" s="7"/>
      <c r="B388" s="35"/>
      <c r="C388" s="36"/>
      <c r="D388" s="36"/>
      <c r="E388" s="36"/>
    </row>
    <row r="389" spans="1:5" ht="14.25" customHeight="1" x14ac:dyDescent="0.25">
      <c r="A389" s="7"/>
      <c r="B389" s="35"/>
      <c r="C389" s="36"/>
      <c r="D389" s="36"/>
      <c r="E389" s="36"/>
    </row>
    <row r="390" spans="1:5" ht="14.25" customHeight="1" x14ac:dyDescent="0.25">
      <c r="A390" s="7"/>
      <c r="B390" s="35"/>
      <c r="C390" s="36"/>
      <c r="D390" s="36"/>
      <c r="E390" s="36"/>
    </row>
    <row r="391" spans="1:5" ht="14.25" customHeight="1" x14ac:dyDescent="0.25">
      <c r="A391" s="7"/>
      <c r="B391" s="35"/>
      <c r="C391" s="36"/>
      <c r="D391" s="36"/>
      <c r="E391" s="36"/>
    </row>
    <row r="392" spans="1:5" ht="14.25" customHeight="1" x14ac:dyDescent="0.25">
      <c r="A392" s="7"/>
      <c r="B392" s="35"/>
      <c r="C392" s="36"/>
      <c r="D392" s="36"/>
      <c r="E392" s="36"/>
    </row>
    <row r="393" spans="1:5" ht="14.25" customHeight="1" x14ac:dyDescent="0.25">
      <c r="A393" s="7"/>
      <c r="B393" s="35"/>
      <c r="C393" s="36"/>
      <c r="D393" s="36"/>
      <c r="E393" s="36"/>
    </row>
    <row r="394" spans="1:5" ht="14.25" customHeight="1" x14ac:dyDescent="0.25">
      <c r="A394" s="7"/>
      <c r="B394" s="35"/>
      <c r="C394" s="36"/>
      <c r="D394" s="36"/>
      <c r="E394" s="36"/>
    </row>
    <row r="395" spans="1:5" ht="14.25" customHeight="1" x14ac:dyDescent="0.25">
      <c r="A395" s="7"/>
      <c r="B395" s="35"/>
      <c r="C395" s="36"/>
      <c r="D395" s="36"/>
      <c r="E395" s="36"/>
    </row>
    <row r="396" spans="1:5" ht="14.25" customHeight="1" x14ac:dyDescent="0.25">
      <c r="A396" s="7"/>
      <c r="B396" s="35"/>
      <c r="C396" s="36"/>
      <c r="D396" s="36"/>
      <c r="E396" s="36"/>
    </row>
    <row r="397" spans="1:5" ht="14.25" customHeight="1" x14ac:dyDescent="0.25">
      <c r="A397" s="7"/>
      <c r="B397" s="35"/>
      <c r="C397" s="36"/>
      <c r="D397" s="36"/>
      <c r="E397" s="36"/>
    </row>
    <row r="398" spans="1:5" ht="14.25" customHeight="1" x14ac:dyDescent="0.25">
      <c r="A398" s="7"/>
      <c r="B398" s="35"/>
      <c r="C398" s="36"/>
      <c r="D398" s="36"/>
      <c r="E398" s="36"/>
    </row>
    <row r="399" spans="1:5" ht="14.25" customHeight="1" x14ac:dyDescent="0.25">
      <c r="A399" s="7"/>
      <c r="B399" s="35"/>
      <c r="C399" s="36"/>
      <c r="D399" s="36"/>
      <c r="E399" s="36"/>
    </row>
    <row r="400" spans="1:5" ht="14.25" customHeight="1" x14ac:dyDescent="0.25">
      <c r="A400" s="7"/>
      <c r="B400" s="35"/>
      <c r="C400" s="36"/>
      <c r="D400" s="36"/>
      <c r="E400" s="36"/>
    </row>
    <row r="401" spans="1:5" ht="14.25" customHeight="1" x14ac:dyDescent="0.25">
      <c r="A401" s="7"/>
      <c r="B401" s="35"/>
      <c r="C401" s="36"/>
      <c r="D401" s="36"/>
      <c r="E401" s="36"/>
    </row>
    <row r="402" spans="1:5" ht="14.25" customHeight="1" x14ac:dyDescent="0.25">
      <c r="A402" s="7"/>
      <c r="B402" s="35"/>
      <c r="C402" s="36"/>
      <c r="D402" s="36"/>
      <c r="E402" s="36"/>
    </row>
    <row r="403" spans="1:5" ht="14.25" customHeight="1" x14ac:dyDescent="0.25">
      <c r="A403" s="7"/>
      <c r="B403" s="35"/>
      <c r="C403" s="36"/>
      <c r="D403" s="36"/>
      <c r="E403" s="36"/>
    </row>
    <row r="404" spans="1:5" ht="14.25" customHeight="1" x14ac:dyDescent="0.25">
      <c r="A404" s="7"/>
      <c r="B404" s="35"/>
      <c r="C404" s="36"/>
      <c r="D404" s="36"/>
      <c r="E404" s="36"/>
    </row>
    <row r="405" spans="1:5" ht="14.25" customHeight="1" x14ac:dyDescent="0.25">
      <c r="A405" s="7"/>
      <c r="B405" s="35"/>
      <c r="C405" s="36"/>
      <c r="D405" s="36"/>
      <c r="E405" s="36"/>
    </row>
    <row r="406" spans="1:5" ht="14.25" customHeight="1" x14ac:dyDescent="0.25">
      <c r="A406" s="7"/>
      <c r="B406" s="35"/>
      <c r="C406" s="36"/>
      <c r="D406" s="36"/>
      <c r="E406" s="36"/>
    </row>
    <row r="407" spans="1:5" ht="14.25" customHeight="1" x14ac:dyDescent="0.25">
      <c r="A407" s="7"/>
      <c r="B407" s="35"/>
      <c r="C407" s="36"/>
      <c r="D407" s="36"/>
      <c r="E407" s="36"/>
    </row>
    <row r="408" spans="1:5" ht="14.25" customHeight="1" x14ac:dyDescent="0.25">
      <c r="A408" s="7"/>
      <c r="B408" s="35"/>
      <c r="C408" s="36"/>
      <c r="D408" s="36"/>
      <c r="E408" s="36"/>
    </row>
    <row r="409" spans="1:5" ht="14.25" customHeight="1" x14ac:dyDescent="0.25">
      <c r="A409" s="7"/>
      <c r="B409" s="35"/>
      <c r="C409" s="36"/>
      <c r="D409" s="36"/>
      <c r="E409" s="36"/>
    </row>
    <row r="410" spans="1:5" ht="14.25" customHeight="1" x14ac:dyDescent="0.25">
      <c r="A410" s="7"/>
      <c r="B410" s="35"/>
      <c r="C410" s="36"/>
      <c r="D410" s="36"/>
      <c r="E410" s="36"/>
    </row>
    <row r="411" spans="1:5" ht="14.25" customHeight="1" x14ac:dyDescent="0.25">
      <c r="A411" s="7"/>
      <c r="B411" s="35"/>
      <c r="C411" s="36"/>
      <c r="D411" s="36"/>
      <c r="E411" s="36"/>
    </row>
    <row r="412" spans="1:5" ht="14.25" customHeight="1" x14ac:dyDescent="0.25">
      <c r="A412" s="7"/>
      <c r="B412" s="35"/>
      <c r="C412" s="36"/>
      <c r="D412" s="36"/>
      <c r="E412" s="36"/>
    </row>
    <row r="413" spans="1:5" ht="14.25" customHeight="1" x14ac:dyDescent="0.25">
      <c r="A413" s="7"/>
      <c r="B413" s="35"/>
      <c r="C413" s="36"/>
      <c r="D413" s="36"/>
      <c r="E413" s="36"/>
    </row>
    <row r="414" spans="1:5" ht="14.25" customHeight="1" x14ac:dyDescent="0.25">
      <c r="A414" s="7"/>
      <c r="B414" s="35"/>
      <c r="C414" s="36"/>
      <c r="D414" s="36"/>
      <c r="E414" s="36"/>
    </row>
    <row r="415" spans="1:5" ht="14.25" customHeight="1" x14ac:dyDescent="0.25">
      <c r="A415" s="7"/>
      <c r="B415" s="35"/>
      <c r="C415" s="36"/>
      <c r="D415" s="36"/>
      <c r="E415" s="36"/>
    </row>
    <row r="416" spans="1:5" ht="14.25" customHeight="1" x14ac:dyDescent="0.25">
      <c r="A416" s="7"/>
      <c r="B416" s="35"/>
      <c r="C416" s="36"/>
      <c r="D416" s="36"/>
      <c r="E416" s="36"/>
    </row>
    <row r="417" spans="1:5" ht="14.25" customHeight="1" x14ac:dyDescent="0.25">
      <c r="A417" s="7"/>
      <c r="B417" s="35"/>
      <c r="C417" s="36"/>
      <c r="D417" s="36"/>
      <c r="E417" s="36"/>
    </row>
    <row r="418" spans="1:5" ht="14.25" customHeight="1" x14ac:dyDescent="0.25">
      <c r="A418" s="7"/>
      <c r="B418" s="35"/>
      <c r="C418" s="36"/>
      <c r="D418" s="36"/>
      <c r="E418" s="36"/>
    </row>
    <row r="419" spans="1:5" ht="14.25" customHeight="1" x14ac:dyDescent="0.25">
      <c r="A419" s="7"/>
      <c r="B419" s="35"/>
      <c r="C419" s="36"/>
      <c r="D419" s="36"/>
      <c r="E419" s="36"/>
    </row>
    <row r="420" spans="1:5" ht="14.25" customHeight="1" x14ac:dyDescent="0.25">
      <c r="A420" s="7"/>
      <c r="B420" s="35"/>
      <c r="C420" s="36"/>
      <c r="D420" s="36"/>
      <c r="E420" s="36"/>
    </row>
    <row r="421" spans="1:5" ht="14.25" customHeight="1" x14ac:dyDescent="0.25">
      <c r="A421" s="7"/>
      <c r="B421" s="35"/>
      <c r="C421" s="36"/>
      <c r="D421" s="36"/>
      <c r="E421" s="36"/>
    </row>
    <row r="422" spans="1:5" ht="14.25" customHeight="1" x14ac:dyDescent="0.25">
      <c r="A422" s="7"/>
      <c r="B422" s="35"/>
      <c r="C422" s="36"/>
      <c r="D422" s="36"/>
      <c r="E422" s="36"/>
    </row>
    <row r="423" spans="1:5" ht="14.25" customHeight="1" x14ac:dyDescent="0.25">
      <c r="A423" s="7"/>
      <c r="B423" s="35"/>
      <c r="C423" s="36"/>
      <c r="D423" s="36"/>
      <c r="E423" s="36"/>
    </row>
    <row r="424" spans="1:5" ht="14.25" customHeight="1" x14ac:dyDescent="0.25">
      <c r="A424" s="7"/>
      <c r="B424" s="35"/>
      <c r="C424" s="36"/>
      <c r="D424" s="36"/>
      <c r="E424" s="36"/>
    </row>
    <row r="425" spans="1:5" ht="14.25" customHeight="1" x14ac:dyDescent="0.25">
      <c r="A425" s="7"/>
      <c r="B425" s="35"/>
      <c r="C425" s="36"/>
      <c r="D425" s="36"/>
      <c r="E425" s="36"/>
    </row>
    <row r="426" spans="1:5" ht="14.25" customHeight="1" x14ac:dyDescent="0.25">
      <c r="A426" s="7"/>
      <c r="B426" s="35"/>
      <c r="C426" s="36"/>
      <c r="D426" s="36"/>
      <c r="E426" s="36"/>
    </row>
    <row r="427" spans="1:5" ht="14.25" customHeight="1" x14ac:dyDescent="0.25">
      <c r="A427" s="7"/>
      <c r="B427" s="35"/>
      <c r="C427" s="36"/>
      <c r="D427" s="36"/>
      <c r="E427" s="36"/>
    </row>
    <row r="428" spans="1:5" ht="14.25" customHeight="1" x14ac:dyDescent="0.25">
      <c r="A428" s="7"/>
      <c r="B428" s="35"/>
      <c r="C428" s="36"/>
      <c r="D428" s="36"/>
      <c r="E428" s="36"/>
    </row>
    <row r="429" spans="1:5" ht="14.25" customHeight="1" x14ac:dyDescent="0.25">
      <c r="A429" s="7"/>
      <c r="B429" s="35"/>
      <c r="C429" s="36"/>
      <c r="D429" s="36"/>
      <c r="E429" s="36"/>
    </row>
    <row r="430" spans="1:5" ht="14.25" customHeight="1" x14ac:dyDescent="0.25">
      <c r="A430" s="7"/>
      <c r="B430" s="35"/>
      <c r="C430" s="36"/>
      <c r="D430" s="36"/>
      <c r="E430" s="36"/>
    </row>
    <row r="431" spans="1:5" ht="14.25" customHeight="1" x14ac:dyDescent="0.25">
      <c r="A431" s="7"/>
      <c r="B431" s="35"/>
      <c r="C431" s="36"/>
      <c r="D431" s="36"/>
      <c r="E431" s="36"/>
    </row>
    <row r="432" spans="1:5" ht="14.25" customHeight="1" x14ac:dyDescent="0.25">
      <c r="A432" s="7"/>
      <c r="B432" s="35"/>
      <c r="C432" s="36"/>
      <c r="D432" s="36"/>
      <c r="E432" s="36"/>
    </row>
    <row r="433" spans="1:5" ht="14.25" customHeight="1" x14ac:dyDescent="0.25">
      <c r="A433" s="7"/>
      <c r="B433" s="35"/>
      <c r="C433" s="36"/>
      <c r="D433" s="36"/>
      <c r="E433" s="36"/>
    </row>
    <row r="434" spans="1:5" ht="14.25" customHeight="1" x14ac:dyDescent="0.25">
      <c r="A434" s="7"/>
      <c r="B434" s="35"/>
      <c r="C434" s="36"/>
      <c r="D434" s="36"/>
      <c r="E434" s="36"/>
    </row>
    <row r="435" spans="1:5" ht="14.25" customHeight="1" x14ac:dyDescent="0.25">
      <c r="A435" s="7"/>
      <c r="B435" s="35"/>
      <c r="C435" s="36"/>
      <c r="D435" s="36"/>
      <c r="E435" s="36"/>
    </row>
    <row r="436" spans="1:5" ht="14.25" customHeight="1" x14ac:dyDescent="0.25">
      <c r="A436" s="7"/>
      <c r="B436" s="35"/>
      <c r="C436" s="36"/>
      <c r="D436" s="36"/>
      <c r="E436" s="36"/>
    </row>
    <row r="437" spans="1:5" ht="14.25" customHeight="1" x14ac:dyDescent="0.25">
      <c r="A437" s="7"/>
      <c r="B437" s="35"/>
      <c r="C437" s="36"/>
      <c r="D437" s="36"/>
      <c r="E437" s="36"/>
    </row>
    <row r="438" spans="1:5" ht="14.25" customHeight="1" x14ac:dyDescent="0.25">
      <c r="A438" s="7"/>
      <c r="B438" s="35"/>
      <c r="C438" s="36"/>
      <c r="D438" s="36"/>
      <c r="E438" s="36"/>
    </row>
    <row r="439" spans="1:5" ht="14.25" customHeight="1" x14ac:dyDescent="0.25">
      <c r="A439" s="7"/>
      <c r="B439" s="35"/>
      <c r="C439" s="36"/>
      <c r="D439" s="36"/>
      <c r="E439" s="36"/>
    </row>
    <row r="440" spans="1:5" ht="14.25" customHeight="1" x14ac:dyDescent="0.25">
      <c r="A440" s="7"/>
      <c r="B440" s="35"/>
      <c r="C440" s="36"/>
      <c r="D440" s="36"/>
      <c r="E440" s="36"/>
    </row>
    <row r="441" spans="1:5" ht="14.25" customHeight="1" x14ac:dyDescent="0.25">
      <c r="A441" s="7"/>
      <c r="B441" s="35"/>
      <c r="C441" s="36"/>
      <c r="D441" s="36"/>
      <c r="E441" s="36"/>
    </row>
    <row r="442" spans="1:5" ht="14.25" customHeight="1" x14ac:dyDescent="0.25">
      <c r="A442" s="7"/>
      <c r="B442" s="35"/>
      <c r="C442" s="36"/>
      <c r="D442" s="36"/>
      <c r="E442" s="36"/>
    </row>
    <row r="443" spans="1:5" ht="14.25" customHeight="1" x14ac:dyDescent="0.25">
      <c r="A443" s="7"/>
      <c r="B443" s="35"/>
      <c r="C443" s="36"/>
      <c r="D443" s="36"/>
      <c r="E443" s="36"/>
    </row>
    <row r="444" spans="1:5" ht="14.25" customHeight="1" x14ac:dyDescent="0.25">
      <c r="A444" s="7"/>
      <c r="B444" s="35"/>
      <c r="C444" s="36"/>
      <c r="D444" s="36"/>
      <c r="E444" s="36"/>
    </row>
    <row r="445" spans="1:5" ht="14.25" customHeight="1" x14ac:dyDescent="0.25">
      <c r="A445" s="7"/>
      <c r="B445" s="35"/>
      <c r="C445" s="36"/>
      <c r="D445" s="36"/>
      <c r="E445" s="36"/>
    </row>
    <row r="446" spans="1:5" ht="14.25" customHeight="1" x14ac:dyDescent="0.25">
      <c r="A446" s="7"/>
      <c r="B446" s="35"/>
      <c r="C446" s="36"/>
      <c r="D446" s="36"/>
      <c r="E446" s="36"/>
    </row>
    <row r="447" spans="1:5" ht="14.25" customHeight="1" x14ac:dyDescent="0.25">
      <c r="A447" s="7"/>
      <c r="B447" s="35"/>
      <c r="C447" s="36"/>
      <c r="D447" s="36"/>
      <c r="E447" s="36"/>
    </row>
    <row r="448" spans="1:5" ht="14.25" customHeight="1" x14ac:dyDescent="0.25">
      <c r="A448" s="7"/>
      <c r="B448" s="35"/>
      <c r="C448" s="36"/>
      <c r="D448" s="36"/>
      <c r="E448" s="36"/>
    </row>
    <row r="449" spans="1:5" ht="14.25" customHeight="1" x14ac:dyDescent="0.25">
      <c r="A449" s="7"/>
      <c r="B449" s="35"/>
      <c r="C449" s="36"/>
      <c r="D449" s="36"/>
      <c r="E449" s="36"/>
    </row>
    <row r="450" spans="1:5" ht="14.25" customHeight="1" x14ac:dyDescent="0.25">
      <c r="A450" s="7"/>
      <c r="B450" s="35"/>
      <c r="C450" s="36"/>
      <c r="D450" s="36"/>
      <c r="E450" s="36"/>
    </row>
    <row r="451" spans="1:5" ht="14.25" customHeight="1" x14ac:dyDescent="0.25">
      <c r="A451" s="7"/>
      <c r="B451" s="35"/>
      <c r="C451" s="36"/>
      <c r="D451" s="36"/>
      <c r="E451" s="36"/>
    </row>
    <row r="452" spans="1:5" ht="14.25" customHeight="1" x14ac:dyDescent="0.25">
      <c r="A452" s="7"/>
      <c r="B452" s="35"/>
      <c r="C452" s="36"/>
      <c r="D452" s="36"/>
      <c r="E452" s="36"/>
    </row>
    <row r="453" spans="1:5" ht="14.25" customHeight="1" x14ac:dyDescent="0.25">
      <c r="A453" s="7"/>
      <c r="B453" s="35"/>
      <c r="C453" s="36"/>
      <c r="D453" s="36"/>
      <c r="E453" s="36"/>
    </row>
    <row r="454" spans="1:5" ht="14.25" customHeight="1" x14ac:dyDescent="0.25">
      <c r="A454" s="7"/>
      <c r="B454" s="35"/>
      <c r="C454" s="36"/>
      <c r="D454" s="36"/>
      <c r="E454" s="36"/>
    </row>
    <row r="455" spans="1:5" ht="14.25" customHeight="1" x14ac:dyDescent="0.25">
      <c r="A455" s="7"/>
      <c r="B455" s="35"/>
      <c r="C455" s="36"/>
      <c r="D455" s="36"/>
      <c r="E455" s="36"/>
    </row>
    <row r="456" spans="1:5" ht="14.25" customHeight="1" x14ac:dyDescent="0.25">
      <c r="A456" s="7"/>
      <c r="B456" s="35"/>
      <c r="C456" s="36"/>
      <c r="D456" s="36"/>
      <c r="E456" s="36"/>
    </row>
    <row r="457" spans="1:5" ht="14.25" customHeight="1" x14ac:dyDescent="0.25">
      <c r="A457" s="7"/>
      <c r="B457" s="35"/>
      <c r="C457" s="36"/>
      <c r="D457" s="36"/>
      <c r="E457" s="36"/>
    </row>
    <row r="458" spans="1:5" ht="14.25" customHeight="1" x14ac:dyDescent="0.25">
      <c r="A458" s="7"/>
      <c r="B458" s="35"/>
      <c r="C458" s="36"/>
      <c r="D458" s="36"/>
      <c r="E458" s="36"/>
    </row>
    <row r="459" spans="1:5" ht="14.25" customHeight="1" x14ac:dyDescent="0.25">
      <c r="A459" s="7"/>
      <c r="B459" s="35"/>
      <c r="C459" s="36"/>
      <c r="D459" s="36"/>
      <c r="E459" s="36"/>
    </row>
    <row r="460" spans="1:5" ht="14.25" customHeight="1" x14ac:dyDescent="0.25">
      <c r="A460" s="7"/>
      <c r="B460" s="35"/>
      <c r="C460" s="36"/>
      <c r="D460" s="36"/>
      <c r="E460" s="36"/>
    </row>
    <row r="461" spans="1:5" ht="14.25" customHeight="1" x14ac:dyDescent="0.25">
      <c r="A461" s="7"/>
      <c r="B461" s="35"/>
      <c r="C461" s="36"/>
      <c r="D461" s="36"/>
      <c r="E461" s="36"/>
    </row>
    <row r="462" spans="1:5" ht="14.25" customHeight="1" x14ac:dyDescent="0.25">
      <c r="A462" s="7"/>
      <c r="B462" s="35"/>
      <c r="C462" s="36"/>
      <c r="D462" s="36"/>
      <c r="E462" s="36"/>
    </row>
    <row r="463" spans="1:5" ht="14.25" customHeight="1" x14ac:dyDescent="0.25">
      <c r="A463" s="7"/>
      <c r="B463" s="35"/>
      <c r="C463" s="36"/>
      <c r="D463" s="36"/>
      <c r="E463" s="36"/>
    </row>
    <row r="464" spans="1:5" ht="14.25" customHeight="1" x14ac:dyDescent="0.25">
      <c r="A464" s="7"/>
      <c r="B464" s="35"/>
      <c r="C464" s="36"/>
      <c r="D464" s="36"/>
      <c r="E464" s="36"/>
    </row>
    <row r="465" spans="1:5" ht="14.25" customHeight="1" x14ac:dyDescent="0.25">
      <c r="A465" s="7"/>
      <c r="B465" s="35"/>
      <c r="C465" s="36"/>
      <c r="D465" s="36"/>
      <c r="E465" s="36"/>
    </row>
    <row r="466" spans="1:5" ht="14.25" customHeight="1" x14ac:dyDescent="0.25">
      <c r="A466" s="7"/>
      <c r="B466" s="35"/>
      <c r="C466" s="36"/>
      <c r="D466" s="36"/>
      <c r="E466" s="36"/>
    </row>
    <row r="467" spans="1:5" ht="14.25" customHeight="1" x14ac:dyDescent="0.25">
      <c r="A467" s="7"/>
      <c r="B467" s="35"/>
      <c r="C467" s="36"/>
      <c r="D467" s="36"/>
      <c r="E467" s="36"/>
    </row>
    <row r="468" spans="1:5" ht="14.25" customHeight="1" x14ac:dyDescent="0.25">
      <c r="A468" s="7"/>
      <c r="B468" s="35"/>
      <c r="C468" s="36"/>
      <c r="D468" s="36"/>
      <c r="E468" s="36"/>
    </row>
    <row r="469" spans="1:5" ht="14.25" customHeight="1" x14ac:dyDescent="0.25">
      <c r="A469" s="7"/>
      <c r="B469" s="35"/>
      <c r="C469" s="36"/>
      <c r="D469" s="36"/>
      <c r="E469" s="36"/>
    </row>
    <row r="470" spans="1:5" ht="14.25" customHeight="1" x14ac:dyDescent="0.25">
      <c r="A470" s="7"/>
      <c r="B470" s="35"/>
      <c r="C470" s="36"/>
      <c r="D470" s="36"/>
      <c r="E470" s="36"/>
    </row>
    <row r="471" spans="1:5" ht="14.25" customHeight="1" x14ac:dyDescent="0.25">
      <c r="A471" s="7"/>
      <c r="B471" s="35"/>
      <c r="C471" s="36"/>
      <c r="D471" s="36"/>
      <c r="E471" s="36"/>
    </row>
    <row r="472" spans="1:5" ht="14.25" customHeight="1" x14ac:dyDescent="0.25">
      <c r="A472" s="7"/>
      <c r="B472" s="35"/>
      <c r="C472" s="36"/>
      <c r="D472" s="36"/>
      <c r="E472" s="36"/>
    </row>
    <row r="473" spans="1:5" ht="14.25" customHeight="1" x14ac:dyDescent="0.25">
      <c r="A473" s="7"/>
      <c r="B473" s="35"/>
      <c r="C473" s="36"/>
      <c r="D473" s="36"/>
      <c r="E473" s="36"/>
    </row>
    <row r="474" spans="1:5" ht="14.25" customHeight="1" x14ac:dyDescent="0.25">
      <c r="A474" s="7"/>
      <c r="B474" s="35"/>
      <c r="C474" s="36"/>
      <c r="D474" s="36"/>
      <c r="E474" s="36"/>
    </row>
    <row r="475" spans="1:5" ht="14.25" customHeight="1" x14ac:dyDescent="0.25">
      <c r="A475" s="7"/>
      <c r="B475" s="35"/>
      <c r="C475" s="36"/>
      <c r="D475" s="36"/>
      <c r="E475" s="36"/>
    </row>
    <row r="476" spans="1:5" ht="14.25" customHeight="1" x14ac:dyDescent="0.25">
      <c r="A476" s="7"/>
      <c r="B476" s="35"/>
      <c r="C476" s="36"/>
      <c r="D476" s="36"/>
      <c r="E476" s="36"/>
    </row>
    <row r="477" spans="1:5" ht="14.25" customHeight="1" x14ac:dyDescent="0.25">
      <c r="A477" s="7"/>
      <c r="B477" s="35"/>
      <c r="C477" s="36"/>
      <c r="D477" s="36"/>
      <c r="E477" s="36"/>
    </row>
    <row r="478" spans="1:5" ht="14.25" customHeight="1" x14ac:dyDescent="0.25">
      <c r="A478" s="7"/>
      <c r="B478" s="35"/>
      <c r="C478" s="36"/>
      <c r="D478" s="36"/>
      <c r="E478" s="36"/>
    </row>
    <row r="479" spans="1:5" ht="14.25" customHeight="1" x14ac:dyDescent="0.25">
      <c r="A479" s="7"/>
      <c r="B479" s="35"/>
      <c r="C479" s="36"/>
      <c r="D479" s="36"/>
      <c r="E479" s="36"/>
    </row>
    <row r="480" spans="1:5" ht="14.25" customHeight="1" x14ac:dyDescent="0.25">
      <c r="A480" s="7"/>
      <c r="B480" s="35"/>
      <c r="C480" s="36"/>
      <c r="D480" s="36"/>
      <c r="E480" s="36"/>
    </row>
    <row r="481" spans="1:5" ht="14.25" customHeight="1" x14ac:dyDescent="0.25">
      <c r="A481" s="7"/>
      <c r="B481" s="35"/>
      <c r="C481" s="36"/>
      <c r="D481" s="36"/>
      <c r="E481" s="36"/>
    </row>
    <row r="482" spans="1:5" ht="14.25" customHeight="1" x14ac:dyDescent="0.25">
      <c r="A482" s="7"/>
      <c r="B482" s="35"/>
      <c r="C482" s="36"/>
      <c r="D482" s="36"/>
      <c r="E482" s="36"/>
    </row>
    <row r="483" spans="1:5" ht="14.25" customHeight="1" x14ac:dyDescent="0.25">
      <c r="A483" s="7"/>
      <c r="B483" s="35"/>
      <c r="C483" s="36"/>
      <c r="D483" s="36"/>
      <c r="E483" s="36"/>
    </row>
    <row r="484" spans="1:5" ht="14.25" customHeight="1" x14ac:dyDescent="0.25">
      <c r="A484" s="7"/>
      <c r="B484" s="35"/>
      <c r="C484" s="36"/>
      <c r="D484" s="36"/>
      <c r="E484" s="36"/>
    </row>
    <row r="485" spans="1:5" ht="14.25" customHeight="1" x14ac:dyDescent="0.25">
      <c r="A485" s="7"/>
      <c r="B485" s="35"/>
      <c r="C485" s="36"/>
      <c r="D485" s="36"/>
      <c r="E485" s="36"/>
    </row>
    <row r="486" spans="1:5" ht="14.25" customHeight="1" x14ac:dyDescent="0.25">
      <c r="A486" s="7"/>
      <c r="B486" s="35"/>
      <c r="C486" s="36"/>
      <c r="D486" s="36"/>
      <c r="E486" s="36"/>
    </row>
    <row r="487" spans="1:5" ht="14.25" customHeight="1" x14ac:dyDescent="0.25">
      <c r="A487" s="7"/>
      <c r="B487" s="35"/>
      <c r="C487" s="36"/>
      <c r="D487" s="36"/>
      <c r="E487" s="36"/>
    </row>
    <row r="488" spans="1:5" ht="14.25" customHeight="1" x14ac:dyDescent="0.25">
      <c r="A488" s="7"/>
      <c r="B488" s="35"/>
      <c r="C488" s="36"/>
      <c r="D488" s="36"/>
      <c r="E488" s="36"/>
    </row>
    <row r="489" spans="1:5" ht="14.25" customHeight="1" x14ac:dyDescent="0.25">
      <c r="A489" s="7"/>
      <c r="B489" s="35"/>
      <c r="C489" s="36"/>
      <c r="D489" s="36"/>
      <c r="E489" s="36"/>
    </row>
    <row r="490" spans="1:5" ht="14.25" customHeight="1" x14ac:dyDescent="0.25">
      <c r="A490" s="7"/>
      <c r="B490" s="35"/>
      <c r="C490" s="36"/>
      <c r="D490" s="36"/>
      <c r="E490" s="36"/>
    </row>
    <row r="491" spans="1:5" ht="14.25" customHeight="1" x14ac:dyDescent="0.25">
      <c r="A491" s="7"/>
      <c r="B491" s="35"/>
      <c r="C491" s="36"/>
      <c r="D491" s="36"/>
      <c r="E491" s="36"/>
    </row>
    <row r="492" spans="1:5" ht="14.25" customHeight="1" x14ac:dyDescent="0.25">
      <c r="A492" s="7"/>
      <c r="B492" s="35"/>
      <c r="C492" s="36"/>
      <c r="D492" s="36"/>
      <c r="E492" s="36"/>
    </row>
    <row r="493" spans="1:5" ht="14.25" customHeight="1" x14ac:dyDescent="0.25">
      <c r="A493" s="7"/>
      <c r="B493" s="35"/>
      <c r="C493" s="36"/>
      <c r="D493" s="36"/>
      <c r="E493" s="36"/>
    </row>
    <row r="494" spans="1:5" ht="14.25" customHeight="1" x14ac:dyDescent="0.25">
      <c r="A494" s="7"/>
      <c r="B494" s="35"/>
      <c r="C494" s="36"/>
      <c r="D494" s="36"/>
      <c r="E494" s="36"/>
    </row>
    <row r="495" spans="1:5" ht="14.25" customHeight="1" x14ac:dyDescent="0.25">
      <c r="A495" s="7"/>
      <c r="B495" s="35"/>
      <c r="C495" s="36"/>
      <c r="D495" s="36"/>
      <c r="E495" s="36"/>
    </row>
    <row r="496" spans="1:5" ht="14.25" customHeight="1" x14ac:dyDescent="0.25">
      <c r="A496" s="7"/>
      <c r="B496" s="35"/>
      <c r="C496" s="36"/>
      <c r="D496" s="36"/>
      <c r="E496" s="36"/>
    </row>
    <row r="497" spans="1:5" ht="14.25" customHeight="1" x14ac:dyDescent="0.25">
      <c r="A497" s="7"/>
      <c r="B497" s="35"/>
      <c r="C497" s="36"/>
      <c r="D497" s="36"/>
      <c r="E497" s="36"/>
    </row>
    <row r="498" spans="1:5" ht="14.25" customHeight="1" x14ac:dyDescent="0.25">
      <c r="A498" s="7"/>
      <c r="B498" s="35"/>
      <c r="C498" s="36"/>
      <c r="D498" s="36"/>
      <c r="E498" s="36"/>
    </row>
    <row r="499" spans="1:5" ht="14.25" customHeight="1" x14ac:dyDescent="0.25">
      <c r="A499" s="7"/>
      <c r="B499" s="35"/>
      <c r="C499" s="36"/>
      <c r="D499" s="36"/>
      <c r="E499" s="36"/>
    </row>
    <row r="500" spans="1:5" ht="14.25" customHeight="1" x14ac:dyDescent="0.25">
      <c r="A500" s="7"/>
      <c r="B500" s="35"/>
      <c r="C500" s="36"/>
      <c r="D500" s="36"/>
      <c r="E500" s="36"/>
    </row>
    <row r="501" spans="1:5" ht="14.25" customHeight="1" x14ac:dyDescent="0.25">
      <c r="A501" s="7"/>
      <c r="B501" s="35"/>
      <c r="C501" s="36"/>
      <c r="D501" s="36"/>
      <c r="E501" s="36"/>
    </row>
    <row r="502" spans="1:5" ht="14.25" customHeight="1" x14ac:dyDescent="0.25">
      <c r="A502" s="7"/>
      <c r="B502" s="35"/>
      <c r="C502" s="36"/>
      <c r="D502" s="36"/>
      <c r="E502" s="36"/>
    </row>
    <row r="503" spans="1:5" ht="14.25" customHeight="1" x14ac:dyDescent="0.25">
      <c r="A503" s="7"/>
      <c r="B503" s="35"/>
      <c r="C503" s="36"/>
      <c r="D503" s="36"/>
      <c r="E503" s="36"/>
    </row>
    <row r="504" spans="1:5" ht="14.25" customHeight="1" x14ac:dyDescent="0.25">
      <c r="A504" s="7"/>
      <c r="B504" s="35"/>
      <c r="C504" s="36"/>
      <c r="D504" s="36"/>
      <c r="E504" s="36"/>
    </row>
    <row r="505" spans="1:5" ht="14.25" customHeight="1" x14ac:dyDescent="0.25">
      <c r="A505" s="7"/>
      <c r="B505" s="35"/>
      <c r="C505" s="36"/>
      <c r="D505" s="36"/>
      <c r="E505" s="36"/>
    </row>
    <row r="506" spans="1:5" ht="14.25" customHeight="1" x14ac:dyDescent="0.25">
      <c r="A506" s="7"/>
      <c r="B506" s="35"/>
      <c r="C506" s="36"/>
      <c r="D506" s="36"/>
      <c r="E506" s="36"/>
    </row>
    <row r="507" spans="1:5" ht="14.25" customHeight="1" x14ac:dyDescent="0.25">
      <c r="A507" s="7"/>
      <c r="B507" s="35"/>
      <c r="C507" s="36"/>
      <c r="D507" s="36"/>
      <c r="E507" s="36"/>
    </row>
    <row r="508" spans="1:5" ht="14.25" customHeight="1" x14ac:dyDescent="0.25">
      <c r="A508" s="7"/>
      <c r="B508" s="35"/>
      <c r="C508" s="36"/>
      <c r="D508" s="36"/>
      <c r="E508" s="36"/>
    </row>
    <row r="509" spans="1:5" ht="14.25" customHeight="1" x14ac:dyDescent="0.25">
      <c r="A509" s="7"/>
      <c r="B509" s="35"/>
      <c r="C509" s="36"/>
      <c r="D509" s="36"/>
      <c r="E509" s="36"/>
    </row>
    <row r="510" spans="1:5" ht="14.25" customHeight="1" x14ac:dyDescent="0.25">
      <c r="A510" s="7"/>
      <c r="B510" s="35"/>
      <c r="C510" s="36"/>
      <c r="D510" s="36"/>
      <c r="E510" s="36"/>
    </row>
    <row r="511" spans="1:5" ht="14.25" customHeight="1" x14ac:dyDescent="0.25">
      <c r="A511" s="7"/>
      <c r="B511" s="35"/>
      <c r="C511" s="36"/>
      <c r="D511" s="36"/>
      <c r="E511" s="36"/>
    </row>
    <row r="512" spans="1:5" ht="14.25" customHeight="1" x14ac:dyDescent="0.25">
      <c r="A512" s="7"/>
      <c r="B512" s="35"/>
      <c r="C512" s="36"/>
      <c r="D512" s="36"/>
      <c r="E512" s="36"/>
    </row>
    <row r="513" spans="1:5" ht="14.25" customHeight="1" x14ac:dyDescent="0.25">
      <c r="A513" s="7"/>
      <c r="B513" s="35"/>
      <c r="C513" s="36"/>
      <c r="D513" s="36"/>
      <c r="E513" s="36"/>
    </row>
    <row r="514" spans="1:5" ht="14.25" customHeight="1" x14ac:dyDescent="0.25">
      <c r="A514" s="7"/>
      <c r="B514" s="35"/>
      <c r="C514" s="36"/>
      <c r="D514" s="36"/>
      <c r="E514" s="36"/>
    </row>
    <row r="515" spans="1:5" ht="14.25" customHeight="1" x14ac:dyDescent="0.25">
      <c r="A515" s="7"/>
      <c r="B515" s="35"/>
      <c r="C515" s="36"/>
      <c r="D515" s="36"/>
      <c r="E515" s="36"/>
    </row>
    <row r="516" spans="1:5" ht="14.25" customHeight="1" x14ac:dyDescent="0.25">
      <c r="A516" s="7"/>
      <c r="B516" s="35"/>
      <c r="C516" s="36"/>
      <c r="D516" s="36"/>
      <c r="E516" s="36"/>
    </row>
    <row r="517" spans="1:5" ht="14.25" customHeight="1" x14ac:dyDescent="0.25">
      <c r="A517" s="7"/>
      <c r="B517" s="35"/>
      <c r="C517" s="36"/>
      <c r="D517" s="36"/>
      <c r="E517" s="36"/>
    </row>
    <row r="518" spans="1:5" ht="14.25" customHeight="1" x14ac:dyDescent="0.25">
      <c r="A518" s="7"/>
      <c r="B518" s="35"/>
      <c r="C518" s="36"/>
      <c r="D518" s="36"/>
      <c r="E518" s="36"/>
    </row>
    <row r="519" spans="1:5" ht="14.25" customHeight="1" x14ac:dyDescent="0.25">
      <c r="A519" s="7"/>
      <c r="B519" s="35"/>
      <c r="C519" s="36"/>
      <c r="D519" s="36"/>
      <c r="E519" s="36"/>
    </row>
    <row r="520" spans="1:5" ht="14.25" customHeight="1" x14ac:dyDescent="0.25">
      <c r="A520" s="7"/>
      <c r="B520" s="35"/>
      <c r="C520" s="36"/>
      <c r="D520" s="36"/>
      <c r="E520" s="36"/>
    </row>
    <row r="521" spans="1:5" ht="14.25" customHeight="1" x14ac:dyDescent="0.25">
      <c r="A521" s="7"/>
      <c r="B521" s="35"/>
      <c r="C521" s="36"/>
      <c r="D521" s="36"/>
      <c r="E521" s="36"/>
    </row>
    <row r="522" spans="1:5" ht="14.25" customHeight="1" x14ac:dyDescent="0.25">
      <c r="A522" s="7"/>
      <c r="B522" s="35"/>
      <c r="C522" s="36"/>
      <c r="D522" s="36"/>
      <c r="E522" s="36"/>
    </row>
    <row r="523" spans="1:5" ht="14.25" customHeight="1" x14ac:dyDescent="0.25">
      <c r="A523" s="7"/>
      <c r="B523" s="35"/>
      <c r="C523" s="36"/>
      <c r="D523" s="36"/>
      <c r="E523" s="36"/>
    </row>
    <row r="524" spans="1:5" ht="14.25" customHeight="1" x14ac:dyDescent="0.25">
      <c r="A524" s="7"/>
      <c r="B524" s="35"/>
      <c r="C524" s="36"/>
      <c r="D524" s="36"/>
      <c r="E524" s="36"/>
    </row>
    <row r="525" spans="1:5" ht="14.25" customHeight="1" x14ac:dyDescent="0.25">
      <c r="A525" s="7"/>
      <c r="B525" s="35"/>
      <c r="C525" s="36"/>
      <c r="D525" s="36"/>
      <c r="E525" s="36"/>
    </row>
    <row r="526" spans="1:5" ht="14.25" customHeight="1" x14ac:dyDescent="0.25">
      <c r="A526" s="7"/>
      <c r="B526" s="35"/>
      <c r="C526" s="36"/>
      <c r="D526" s="36"/>
      <c r="E526" s="36"/>
    </row>
    <row r="527" spans="1:5" ht="14.25" customHeight="1" x14ac:dyDescent="0.25">
      <c r="A527" s="7"/>
      <c r="B527" s="35"/>
      <c r="C527" s="36"/>
      <c r="D527" s="36"/>
      <c r="E527" s="36"/>
    </row>
    <row r="528" spans="1:5" ht="14.25" customHeight="1" x14ac:dyDescent="0.25">
      <c r="A528" s="7"/>
      <c r="B528" s="35"/>
      <c r="C528" s="36"/>
      <c r="D528" s="36"/>
      <c r="E528" s="36"/>
    </row>
    <row r="529" spans="1:5" ht="14.25" customHeight="1" x14ac:dyDescent="0.25">
      <c r="A529" s="7"/>
      <c r="B529" s="35"/>
      <c r="C529" s="36"/>
      <c r="D529" s="36"/>
      <c r="E529" s="36"/>
    </row>
    <row r="530" spans="1:5" ht="14.25" customHeight="1" x14ac:dyDescent="0.25">
      <c r="A530" s="7"/>
      <c r="B530" s="35"/>
      <c r="C530" s="36"/>
      <c r="D530" s="36"/>
      <c r="E530" s="36"/>
    </row>
    <row r="531" spans="1:5" ht="14.25" customHeight="1" x14ac:dyDescent="0.25">
      <c r="A531" s="7"/>
      <c r="B531" s="35"/>
      <c r="C531" s="36"/>
      <c r="D531" s="36"/>
      <c r="E531" s="36"/>
    </row>
    <row r="532" spans="1:5" ht="14.25" customHeight="1" x14ac:dyDescent="0.25">
      <c r="A532" s="7"/>
      <c r="B532" s="35"/>
      <c r="C532" s="36"/>
      <c r="D532" s="36"/>
      <c r="E532" s="36"/>
    </row>
    <row r="533" spans="1:5" ht="14.25" customHeight="1" x14ac:dyDescent="0.25">
      <c r="A533" s="7"/>
      <c r="B533" s="35"/>
      <c r="C533" s="36"/>
      <c r="D533" s="36"/>
      <c r="E533" s="36"/>
    </row>
    <row r="534" spans="1:5" ht="14.25" customHeight="1" x14ac:dyDescent="0.25">
      <c r="A534" s="7"/>
      <c r="B534" s="35"/>
      <c r="C534" s="36"/>
      <c r="D534" s="36"/>
      <c r="E534" s="36"/>
    </row>
    <row r="535" spans="1:5" ht="14.25" customHeight="1" x14ac:dyDescent="0.25">
      <c r="A535" s="7"/>
      <c r="B535" s="35"/>
      <c r="C535" s="36"/>
      <c r="D535" s="36"/>
      <c r="E535" s="36"/>
    </row>
    <row r="536" spans="1:5" ht="14.25" customHeight="1" x14ac:dyDescent="0.25">
      <c r="A536" s="7"/>
      <c r="B536" s="35"/>
      <c r="C536" s="36"/>
      <c r="D536" s="36"/>
      <c r="E536" s="36"/>
    </row>
    <row r="537" spans="1:5" ht="14.25" customHeight="1" x14ac:dyDescent="0.25">
      <c r="A537" s="7"/>
      <c r="B537" s="35"/>
      <c r="C537" s="36"/>
      <c r="D537" s="36"/>
      <c r="E537" s="36"/>
    </row>
    <row r="538" spans="1:5" ht="14.25" customHeight="1" x14ac:dyDescent="0.25">
      <c r="A538" s="7"/>
      <c r="B538" s="35"/>
      <c r="C538" s="36"/>
      <c r="D538" s="36"/>
      <c r="E538" s="36"/>
    </row>
    <row r="539" spans="1:5" ht="14.25" customHeight="1" x14ac:dyDescent="0.25">
      <c r="A539" s="7"/>
      <c r="B539" s="35"/>
      <c r="C539" s="36"/>
      <c r="D539" s="36"/>
      <c r="E539" s="36"/>
    </row>
    <row r="540" spans="1:5" ht="14.25" customHeight="1" x14ac:dyDescent="0.25">
      <c r="A540" s="7"/>
      <c r="B540" s="35"/>
      <c r="C540" s="36"/>
      <c r="D540" s="36"/>
      <c r="E540" s="36"/>
    </row>
    <row r="541" spans="1:5" ht="14.25" customHeight="1" x14ac:dyDescent="0.25">
      <c r="A541" s="7"/>
      <c r="B541" s="35"/>
      <c r="C541" s="36"/>
      <c r="D541" s="36"/>
      <c r="E541" s="36"/>
    </row>
    <row r="542" spans="1:5" ht="14.25" customHeight="1" x14ac:dyDescent="0.25">
      <c r="A542" s="7"/>
      <c r="B542" s="35"/>
      <c r="C542" s="36"/>
      <c r="D542" s="36"/>
      <c r="E542" s="36"/>
    </row>
    <row r="543" spans="1:5" ht="14.25" customHeight="1" x14ac:dyDescent="0.25">
      <c r="A543" s="7"/>
      <c r="B543" s="35"/>
      <c r="C543" s="36"/>
      <c r="D543" s="36"/>
      <c r="E543" s="36"/>
    </row>
    <row r="544" spans="1:5" ht="14.25" customHeight="1" x14ac:dyDescent="0.25">
      <c r="A544" s="7"/>
      <c r="B544" s="35"/>
      <c r="C544" s="36"/>
      <c r="D544" s="36"/>
      <c r="E544" s="36"/>
    </row>
    <row r="545" spans="1:5" ht="14.25" customHeight="1" x14ac:dyDescent="0.25">
      <c r="A545" s="7"/>
      <c r="B545" s="35"/>
      <c r="C545" s="36"/>
      <c r="D545" s="36"/>
      <c r="E545" s="36"/>
    </row>
    <row r="546" spans="1:5" ht="14.25" customHeight="1" x14ac:dyDescent="0.25">
      <c r="A546" s="7"/>
      <c r="B546" s="35"/>
      <c r="C546" s="36"/>
      <c r="D546" s="36"/>
      <c r="E546" s="36"/>
    </row>
    <row r="547" spans="1:5" ht="14.25" customHeight="1" x14ac:dyDescent="0.25">
      <c r="A547" s="7"/>
      <c r="B547" s="35"/>
      <c r="C547" s="36"/>
      <c r="D547" s="36"/>
      <c r="E547" s="36"/>
    </row>
    <row r="548" spans="1:5" ht="14.25" customHeight="1" x14ac:dyDescent="0.25">
      <c r="A548" s="7"/>
      <c r="B548" s="35"/>
      <c r="C548" s="36"/>
      <c r="D548" s="36"/>
      <c r="E548" s="36"/>
    </row>
    <row r="549" spans="1:5" ht="14.25" customHeight="1" x14ac:dyDescent="0.25">
      <c r="A549" s="7"/>
      <c r="B549" s="35"/>
      <c r="C549" s="36"/>
      <c r="D549" s="36"/>
      <c r="E549" s="36"/>
    </row>
    <row r="550" spans="1:5" ht="14.25" customHeight="1" x14ac:dyDescent="0.25">
      <c r="A550" s="7"/>
      <c r="B550" s="35"/>
      <c r="C550" s="36"/>
      <c r="D550" s="36"/>
      <c r="E550" s="36"/>
    </row>
    <row r="551" spans="1:5" ht="14.25" customHeight="1" x14ac:dyDescent="0.25">
      <c r="A551" s="7"/>
      <c r="B551" s="35"/>
      <c r="C551" s="36"/>
      <c r="D551" s="36"/>
      <c r="E551" s="36"/>
    </row>
    <row r="552" spans="1:5" ht="14.25" customHeight="1" x14ac:dyDescent="0.25">
      <c r="A552" s="7"/>
      <c r="B552" s="35"/>
      <c r="C552" s="36"/>
      <c r="D552" s="36"/>
      <c r="E552" s="36"/>
    </row>
    <row r="553" spans="1:5" ht="14.25" customHeight="1" x14ac:dyDescent="0.25">
      <c r="A553" s="7"/>
      <c r="B553" s="35"/>
      <c r="C553" s="36"/>
      <c r="D553" s="36"/>
      <c r="E553" s="36"/>
    </row>
    <row r="554" spans="1:5" ht="14.25" customHeight="1" x14ac:dyDescent="0.25">
      <c r="A554" s="7"/>
      <c r="B554" s="35"/>
      <c r="C554" s="36"/>
      <c r="D554" s="36"/>
      <c r="E554" s="36"/>
    </row>
    <row r="555" spans="1:5" ht="14.25" customHeight="1" x14ac:dyDescent="0.25">
      <c r="A555" s="7"/>
      <c r="B555" s="35"/>
      <c r="C555" s="36"/>
      <c r="D555" s="36"/>
      <c r="E555" s="36"/>
    </row>
    <row r="556" spans="1:5" ht="14.25" customHeight="1" x14ac:dyDescent="0.25">
      <c r="A556" s="7"/>
      <c r="B556" s="35"/>
      <c r="C556" s="36"/>
      <c r="D556" s="36"/>
      <c r="E556" s="36"/>
    </row>
    <row r="557" spans="1:5" ht="14.25" customHeight="1" x14ac:dyDescent="0.25">
      <c r="A557" s="7"/>
      <c r="B557" s="35"/>
      <c r="C557" s="36"/>
      <c r="D557" s="36"/>
      <c r="E557" s="36"/>
    </row>
    <row r="558" spans="1:5" ht="14.25" customHeight="1" x14ac:dyDescent="0.25">
      <c r="A558" s="7"/>
      <c r="B558" s="35"/>
      <c r="C558" s="36"/>
      <c r="D558" s="36"/>
      <c r="E558" s="36"/>
    </row>
    <row r="559" spans="1:5" ht="14.25" customHeight="1" x14ac:dyDescent="0.25">
      <c r="A559" s="7"/>
      <c r="B559" s="35"/>
      <c r="C559" s="36"/>
      <c r="D559" s="36"/>
      <c r="E559" s="36"/>
    </row>
    <row r="560" spans="1:5" ht="14.25" customHeight="1" x14ac:dyDescent="0.25">
      <c r="A560" s="7"/>
      <c r="B560" s="35"/>
      <c r="C560" s="36"/>
      <c r="D560" s="36"/>
      <c r="E560" s="36"/>
    </row>
    <row r="561" spans="1:5" ht="14.25" customHeight="1" x14ac:dyDescent="0.25">
      <c r="A561" s="7"/>
      <c r="B561" s="35"/>
      <c r="C561" s="36"/>
      <c r="D561" s="36"/>
      <c r="E561" s="36"/>
    </row>
    <row r="562" spans="1:5" ht="14.25" customHeight="1" x14ac:dyDescent="0.25">
      <c r="A562" s="7"/>
      <c r="B562" s="35"/>
      <c r="C562" s="36"/>
      <c r="D562" s="36"/>
      <c r="E562" s="36"/>
    </row>
    <row r="563" spans="1:5" ht="14.25" customHeight="1" x14ac:dyDescent="0.25">
      <c r="A563" s="7"/>
      <c r="B563" s="35"/>
      <c r="C563" s="36"/>
      <c r="D563" s="36"/>
      <c r="E563" s="36"/>
    </row>
    <row r="564" spans="1:5" ht="14.25" customHeight="1" x14ac:dyDescent="0.25">
      <c r="A564" s="7"/>
      <c r="B564" s="35"/>
      <c r="C564" s="36"/>
      <c r="D564" s="36"/>
      <c r="E564" s="36"/>
    </row>
    <row r="565" spans="1:5" ht="14.25" customHeight="1" x14ac:dyDescent="0.25">
      <c r="A565" s="7"/>
      <c r="B565" s="35"/>
      <c r="C565" s="36"/>
      <c r="D565" s="36"/>
      <c r="E565" s="36"/>
    </row>
    <row r="566" spans="1:5" ht="14.25" customHeight="1" x14ac:dyDescent="0.25">
      <c r="A566" s="7"/>
      <c r="B566" s="35"/>
      <c r="C566" s="36"/>
      <c r="D566" s="36"/>
      <c r="E566" s="36"/>
    </row>
    <row r="567" spans="1:5" ht="14.25" customHeight="1" x14ac:dyDescent="0.25">
      <c r="A567" s="7"/>
      <c r="B567" s="35"/>
      <c r="C567" s="36"/>
      <c r="D567" s="36"/>
      <c r="E567" s="36"/>
    </row>
    <row r="568" spans="1:5" ht="14.25" customHeight="1" x14ac:dyDescent="0.25">
      <c r="A568" s="7"/>
      <c r="B568" s="35"/>
      <c r="C568" s="36"/>
      <c r="D568" s="36"/>
      <c r="E568" s="36"/>
    </row>
    <row r="569" spans="1:5" ht="14.25" customHeight="1" x14ac:dyDescent="0.25">
      <c r="A569" s="7"/>
      <c r="B569" s="35"/>
      <c r="C569" s="36"/>
      <c r="D569" s="36"/>
      <c r="E569" s="36"/>
    </row>
    <row r="570" spans="1:5" ht="14.25" customHeight="1" x14ac:dyDescent="0.25">
      <c r="A570" s="7"/>
      <c r="B570" s="35"/>
      <c r="C570" s="36"/>
      <c r="D570" s="36"/>
      <c r="E570" s="36"/>
    </row>
    <row r="571" spans="1:5" ht="14.25" customHeight="1" x14ac:dyDescent="0.25">
      <c r="A571" s="7"/>
      <c r="B571" s="35"/>
      <c r="C571" s="36"/>
      <c r="D571" s="36"/>
      <c r="E571" s="36"/>
    </row>
    <row r="572" spans="1:5" ht="14.25" customHeight="1" x14ac:dyDescent="0.25">
      <c r="A572" s="7"/>
      <c r="B572" s="35"/>
      <c r="C572" s="36"/>
      <c r="D572" s="36"/>
      <c r="E572" s="36"/>
    </row>
    <row r="573" spans="1:5" ht="14.25" customHeight="1" x14ac:dyDescent="0.25">
      <c r="A573" s="7"/>
      <c r="B573" s="35"/>
      <c r="C573" s="36"/>
      <c r="D573" s="36"/>
      <c r="E573" s="36"/>
    </row>
    <row r="574" spans="1:5" ht="14.25" customHeight="1" x14ac:dyDescent="0.25">
      <c r="A574" s="7"/>
      <c r="B574" s="35"/>
      <c r="C574" s="36"/>
      <c r="D574" s="36"/>
      <c r="E574" s="36"/>
    </row>
    <row r="575" spans="1:5" ht="14.25" customHeight="1" x14ac:dyDescent="0.25">
      <c r="A575" s="7"/>
      <c r="B575" s="35"/>
      <c r="C575" s="36"/>
      <c r="D575" s="36"/>
      <c r="E575" s="36"/>
    </row>
    <row r="576" spans="1:5" ht="14.25" customHeight="1" x14ac:dyDescent="0.25">
      <c r="A576" s="7"/>
      <c r="B576" s="35"/>
      <c r="C576" s="36"/>
      <c r="D576" s="36"/>
      <c r="E576" s="36"/>
    </row>
    <row r="577" spans="1:5" ht="14.25" customHeight="1" x14ac:dyDescent="0.25">
      <c r="A577" s="7"/>
      <c r="B577" s="35"/>
      <c r="C577" s="36"/>
      <c r="D577" s="36"/>
      <c r="E577" s="36"/>
    </row>
    <row r="578" spans="1:5" ht="14.25" customHeight="1" x14ac:dyDescent="0.25">
      <c r="A578" s="7"/>
      <c r="B578" s="35"/>
      <c r="C578" s="36"/>
      <c r="D578" s="36"/>
      <c r="E578" s="36"/>
    </row>
    <row r="579" spans="1:5" ht="14.25" customHeight="1" x14ac:dyDescent="0.25">
      <c r="A579" s="7"/>
      <c r="B579" s="35"/>
      <c r="C579" s="36"/>
      <c r="D579" s="36"/>
      <c r="E579" s="36"/>
    </row>
    <row r="580" spans="1:5" ht="14.25" customHeight="1" x14ac:dyDescent="0.25">
      <c r="A580" s="7"/>
      <c r="B580" s="35"/>
      <c r="C580" s="36"/>
      <c r="D580" s="36"/>
      <c r="E580" s="36"/>
    </row>
    <row r="581" spans="1:5" ht="14.25" customHeight="1" x14ac:dyDescent="0.25">
      <c r="A581" s="7"/>
      <c r="B581" s="35"/>
      <c r="C581" s="36"/>
      <c r="D581" s="36"/>
      <c r="E581" s="36"/>
    </row>
    <row r="582" spans="1:5" ht="14.25" customHeight="1" x14ac:dyDescent="0.25">
      <c r="A582" s="7"/>
      <c r="B582" s="35"/>
      <c r="C582" s="36"/>
      <c r="D582" s="36"/>
      <c r="E582" s="36"/>
    </row>
    <row r="583" spans="1:5" ht="14.25" customHeight="1" x14ac:dyDescent="0.25">
      <c r="A583" s="7"/>
      <c r="B583" s="35"/>
      <c r="C583" s="36"/>
      <c r="D583" s="36"/>
      <c r="E583" s="36"/>
    </row>
    <row r="584" spans="1:5" ht="14.25" customHeight="1" x14ac:dyDescent="0.25">
      <c r="A584" s="7"/>
      <c r="B584" s="35"/>
      <c r="C584" s="36"/>
      <c r="D584" s="36"/>
      <c r="E584" s="36"/>
    </row>
    <row r="585" spans="1:5" ht="14.25" customHeight="1" x14ac:dyDescent="0.25">
      <c r="A585" s="7"/>
      <c r="B585" s="35"/>
      <c r="C585" s="36"/>
      <c r="D585" s="36"/>
      <c r="E585" s="36"/>
    </row>
    <row r="586" spans="1:5" ht="14.25" customHeight="1" x14ac:dyDescent="0.25">
      <c r="A586" s="7"/>
      <c r="B586" s="35"/>
      <c r="C586" s="36"/>
      <c r="D586" s="36"/>
      <c r="E586" s="36"/>
    </row>
    <row r="587" spans="1:5" ht="14.25" customHeight="1" x14ac:dyDescent="0.25">
      <c r="A587" s="7"/>
      <c r="B587" s="35"/>
      <c r="C587" s="36"/>
      <c r="D587" s="36"/>
      <c r="E587" s="36"/>
    </row>
    <row r="588" spans="1:5" ht="14.25" customHeight="1" x14ac:dyDescent="0.25">
      <c r="A588" s="7"/>
      <c r="B588" s="35"/>
      <c r="C588" s="36"/>
      <c r="D588" s="36"/>
      <c r="E588" s="36"/>
    </row>
    <row r="589" spans="1:5" ht="14.25" customHeight="1" x14ac:dyDescent="0.25">
      <c r="A589" s="7"/>
      <c r="B589" s="35"/>
      <c r="C589" s="36"/>
      <c r="D589" s="36"/>
      <c r="E589" s="36"/>
    </row>
    <row r="590" spans="1:5" ht="14.25" customHeight="1" x14ac:dyDescent="0.25">
      <c r="A590" s="7"/>
      <c r="B590" s="35"/>
      <c r="C590" s="36"/>
      <c r="D590" s="36"/>
      <c r="E590" s="36"/>
    </row>
    <row r="591" spans="1:5" ht="14.25" customHeight="1" x14ac:dyDescent="0.25">
      <c r="A591" s="7"/>
      <c r="B591" s="35"/>
      <c r="C591" s="36"/>
      <c r="D591" s="36"/>
      <c r="E591" s="36"/>
    </row>
    <row r="592" spans="1:5" ht="14.25" customHeight="1" x14ac:dyDescent="0.25">
      <c r="A592" s="7"/>
      <c r="B592" s="35"/>
      <c r="C592" s="36"/>
      <c r="D592" s="36"/>
      <c r="E592" s="36"/>
    </row>
    <row r="593" spans="1:5" ht="14.25" customHeight="1" x14ac:dyDescent="0.25">
      <c r="A593" s="7"/>
      <c r="B593" s="35"/>
      <c r="C593" s="36"/>
      <c r="D593" s="36"/>
      <c r="E593" s="36"/>
    </row>
    <row r="594" spans="1:5" ht="14.25" customHeight="1" x14ac:dyDescent="0.25">
      <c r="A594" s="7"/>
      <c r="B594" s="35"/>
      <c r="C594" s="36"/>
      <c r="D594" s="36"/>
      <c r="E594" s="36"/>
    </row>
    <row r="595" spans="1:5" ht="14.25" customHeight="1" x14ac:dyDescent="0.25">
      <c r="A595" s="7"/>
      <c r="B595" s="35"/>
      <c r="C595" s="36"/>
      <c r="D595" s="36"/>
      <c r="E595" s="36"/>
    </row>
    <row r="596" spans="1:5" ht="14.25" customHeight="1" x14ac:dyDescent="0.25">
      <c r="A596" s="7"/>
      <c r="B596" s="35"/>
      <c r="C596" s="36"/>
      <c r="D596" s="36"/>
      <c r="E596" s="36"/>
    </row>
    <row r="597" spans="1:5" ht="14.25" customHeight="1" x14ac:dyDescent="0.25">
      <c r="A597" s="7"/>
      <c r="B597" s="35"/>
      <c r="C597" s="36"/>
      <c r="D597" s="36"/>
      <c r="E597" s="36"/>
    </row>
    <row r="598" spans="1:5" ht="14.25" customHeight="1" x14ac:dyDescent="0.25">
      <c r="A598" s="7"/>
      <c r="B598" s="35"/>
      <c r="C598" s="36"/>
      <c r="D598" s="36"/>
      <c r="E598" s="36"/>
    </row>
    <row r="599" spans="1:5" ht="14.25" customHeight="1" x14ac:dyDescent="0.25">
      <c r="A599" s="7"/>
      <c r="B599" s="35"/>
      <c r="C599" s="36"/>
      <c r="D599" s="36"/>
      <c r="E599" s="36"/>
    </row>
    <row r="600" spans="1:5" ht="14.25" customHeight="1" x14ac:dyDescent="0.25">
      <c r="A600" s="7"/>
      <c r="B600" s="35"/>
      <c r="C600" s="36"/>
      <c r="D600" s="36"/>
      <c r="E600" s="36"/>
    </row>
    <row r="601" spans="1:5" ht="14.25" customHeight="1" x14ac:dyDescent="0.25">
      <c r="A601" s="7"/>
      <c r="B601" s="35"/>
      <c r="C601" s="36"/>
      <c r="D601" s="36"/>
      <c r="E601" s="36"/>
    </row>
    <row r="602" spans="1:5" ht="14.25" customHeight="1" x14ac:dyDescent="0.25">
      <c r="A602" s="7"/>
      <c r="B602" s="35"/>
      <c r="C602" s="36"/>
      <c r="D602" s="36"/>
      <c r="E602" s="36"/>
    </row>
    <row r="603" spans="1:5" ht="14.25" customHeight="1" x14ac:dyDescent="0.25">
      <c r="A603" s="7"/>
      <c r="B603" s="35"/>
      <c r="C603" s="36"/>
      <c r="D603" s="36"/>
      <c r="E603" s="36"/>
    </row>
    <row r="604" spans="1:5" ht="14.25" customHeight="1" x14ac:dyDescent="0.25">
      <c r="A604" s="7"/>
      <c r="B604" s="35"/>
      <c r="C604" s="36"/>
      <c r="D604" s="36"/>
      <c r="E604" s="36"/>
    </row>
    <row r="605" spans="1:5" ht="14.25" customHeight="1" x14ac:dyDescent="0.25">
      <c r="A605" s="7"/>
      <c r="B605" s="35"/>
      <c r="C605" s="36"/>
      <c r="D605" s="36"/>
      <c r="E605" s="36"/>
    </row>
    <row r="606" spans="1:5" ht="14.25" customHeight="1" x14ac:dyDescent="0.25">
      <c r="A606" s="7"/>
      <c r="B606" s="35"/>
      <c r="C606" s="36"/>
      <c r="D606" s="36"/>
      <c r="E606" s="36"/>
    </row>
    <row r="607" spans="1:5" ht="14.25" customHeight="1" x14ac:dyDescent="0.25">
      <c r="A607" s="7"/>
      <c r="B607" s="35"/>
      <c r="C607" s="36"/>
      <c r="D607" s="36"/>
      <c r="E607" s="36"/>
    </row>
    <row r="608" spans="1:5" ht="14.25" customHeight="1" x14ac:dyDescent="0.25">
      <c r="A608" s="7"/>
      <c r="B608" s="35"/>
      <c r="C608" s="36"/>
      <c r="D608" s="36"/>
      <c r="E608" s="36"/>
    </row>
    <row r="609" spans="1:5" ht="14.25" customHeight="1" x14ac:dyDescent="0.25">
      <c r="A609" s="7"/>
      <c r="B609" s="35"/>
      <c r="C609" s="36"/>
      <c r="D609" s="36"/>
      <c r="E609" s="36"/>
    </row>
    <row r="610" spans="1:5" ht="14.25" customHeight="1" x14ac:dyDescent="0.25">
      <c r="A610" s="7"/>
      <c r="B610" s="35"/>
      <c r="C610" s="36"/>
      <c r="D610" s="36"/>
      <c r="E610" s="36"/>
    </row>
    <row r="611" spans="1:5" ht="14.25" customHeight="1" x14ac:dyDescent="0.25">
      <c r="A611" s="7"/>
      <c r="B611" s="35"/>
      <c r="C611" s="36"/>
      <c r="D611" s="36"/>
      <c r="E611" s="36"/>
    </row>
    <row r="612" spans="1:5" ht="14.25" customHeight="1" x14ac:dyDescent="0.25">
      <c r="A612" s="7"/>
      <c r="B612" s="35"/>
      <c r="C612" s="36"/>
      <c r="D612" s="36"/>
      <c r="E612" s="36"/>
    </row>
    <row r="613" spans="1:5" ht="14.25" customHeight="1" x14ac:dyDescent="0.25">
      <c r="A613" s="7"/>
      <c r="B613" s="35"/>
      <c r="C613" s="36"/>
      <c r="D613" s="36"/>
      <c r="E613" s="36"/>
    </row>
    <row r="614" spans="1:5" ht="14.25" customHeight="1" x14ac:dyDescent="0.25">
      <c r="A614" s="7"/>
      <c r="B614" s="35"/>
      <c r="C614" s="36"/>
      <c r="D614" s="36"/>
      <c r="E614" s="36"/>
    </row>
    <row r="615" spans="1:5" ht="14.25" customHeight="1" x14ac:dyDescent="0.25">
      <c r="A615" s="7"/>
      <c r="B615" s="35"/>
      <c r="C615" s="36"/>
      <c r="D615" s="36"/>
      <c r="E615" s="36"/>
    </row>
    <row r="616" spans="1:5" ht="14.25" customHeight="1" x14ac:dyDescent="0.25">
      <c r="A616" s="7"/>
      <c r="B616" s="35"/>
      <c r="C616" s="36"/>
      <c r="D616" s="36"/>
      <c r="E616" s="36"/>
    </row>
    <row r="617" spans="1:5" ht="14.25" customHeight="1" x14ac:dyDescent="0.25">
      <c r="A617" s="7"/>
      <c r="B617" s="35"/>
      <c r="C617" s="36"/>
      <c r="D617" s="36"/>
      <c r="E617" s="36"/>
    </row>
    <row r="618" spans="1:5" ht="14.25" customHeight="1" x14ac:dyDescent="0.25">
      <c r="A618" s="7"/>
      <c r="B618" s="35"/>
      <c r="C618" s="36"/>
      <c r="D618" s="36"/>
      <c r="E618" s="36"/>
    </row>
    <row r="619" spans="1:5" ht="14.25" customHeight="1" x14ac:dyDescent="0.25">
      <c r="A619" s="7"/>
      <c r="B619" s="35"/>
      <c r="C619" s="36"/>
      <c r="D619" s="36"/>
      <c r="E619" s="36"/>
    </row>
    <row r="620" spans="1:5" ht="14.25" customHeight="1" x14ac:dyDescent="0.25">
      <c r="A620" s="7"/>
      <c r="B620" s="35"/>
      <c r="C620" s="36"/>
      <c r="D620" s="36"/>
      <c r="E620" s="36"/>
    </row>
    <row r="621" spans="1:5" ht="14.25" customHeight="1" x14ac:dyDescent="0.25">
      <c r="A621" s="7"/>
      <c r="B621" s="35"/>
      <c r="C621" s="36"/>
      <c r="D621" s="36"/>
      <c r="E621" s="36"/>
    </row>
    <row r="622" spans="1:5" ht="14.25" customHeight="1" x14ac:dyDescent="0.25">
      <c r="A622" s="7"/>
      <c r="B622" s="35"/>
      <c r="C622" s="36"/>
      <c r="D622" s="36"/>
      <c r="E622" s="36"/>
    </row>
    <row r="623" spans="1:5" ht="14.25" customHeight="1" x14ac:dyDescent="0.25">
      <c r="A623" s="7"/>
      <c r="B623" s="35"/>
      <c r="C623" s="36"/>
      <c r="D623" s="36"/>
      <c r="E623" s="36"/>
    </row>
    <row r="624" spans="1:5" ht="14.25" customHeight="1" x14ac:dyDescent="0.25">
      <c r="A624" s="7"/>
      <c r="B624" s="35"/>
      <c r="C624" s="36"/>
      <c r="D624" s="36"/>
      <c r="E624" s="36"/>
    </row>
    <row r="625" spans="1:5" ht="14.25" customHeight="1" x14ac:dyDescent="0.25">
      <c r="A625" s="7"/>
      <c r="B625" s="35"/>
      <c r="C625" s="36"/>
      <c r="D625" s="36"/>
      <c r="E625" s="36"/>
    </row>
    <row r="626" spans="1:5" ht="14.25" customHeight="1" x14ac:dyDescent="0.25">
      <c r="A626" s="7"/>
      <c r="B626" s="35"/>
      <c r="C626" s="36"/>
      <c r="D626" s="36"/>
      <c r="E626" s="36"/>
    </row>
    <row r="627" spans="1:5" ht="14.25" customHeight="1" x14ac:dyDescent="0.25">
      <c r="A627" s="7"/>
      <c r="B627" s="35"/>
      <c r="C627" s="36"/>
      <c r="D627" s="36"/>
      <c r="E627" s="36"/>
    </row>
    <row r="628" spans="1:5" ht="14.25" customHeight="1" x14ac:dyDescent="0.25">
      <c r="A628" s="7"/>
      <c r="B628" s="35"/>
      <c r="C628" s="36"/>
      <c r="D628" s="36"/>
      <c r="E628" s="36"/>
    </row>
    <row r="629" spans="1:5" ht="14.25" customHeight="1" x14ac:dyDescent="0.25">
      <c r="A629" s="7"/>
      <c r="B629" s="35"/>
      <c r="C629" s="36"/>
      <c r="D629" s="36"/>
      <c r="E629" s="36"/>
    </row>
    <row r="630" spans="1:5" ht="14.25" customHeight="1" x14ac:dyDescent="0.25">
      <c r="A630" s="7"/>
      <c r="B630" s="35"/>
      <c r="C630" s="36"/>
      <c r="D630" s="36"/>
      <c r="E630" s="36"/>
    </row>
    <row r="631" spans="1:5" ht="14.25" customHeight="1" x14ac:dyDescent="0.25">
      <c r="A631" s="7"/>
      <c r="B631" s="35"/>
      <c r="C631" s="36"/>
      <c r="D631" s="36"/>
      <c r="E631" s="36"/>
    </row>
    <row r="632" spans="1:5" ht="14.25" customHeight="1" x14ac:dyDescent="0.25">
      <c r="A632" s="7"/>
      <c r="B632" s="35"/>
      <c r="C632" s="36"/>
      <c r="D632" s="36"/>
      <c r="E632" s="36"/>
    </row>
    <row r="633" spans="1:5" ht="14.25" customHeight="1" x14ac:dyDescent="0.25">
      <c r="A633" s="7"/>
      <c r="B633" s="35"/>
      <c r="C633" s="36"/>
      <c r="D633" s="36"/>
      <c r="E633" s="36"/>
    </row>
    <row r="634" spans="1:5" ht="14.25" customHeight="1" x14ac:dyDescent="0.25">
      <c r="A634" s="7"/>
      <c r="B634" s="35"/>
      <c r="C634" s="36"/>
      <c r="D634" s="36"/>
      <c r="E634" s="36"/>
    </row>
    <row r="635" spans="1:5" ht="14.25" customHeight="1" x14ac:dyDescent="0.25">
      <c r="A635" s="7"/>
      <c r="B635" s="35"/>
      <c r="C635" s="36"/>
      <c r="D635" s="36"/>
      <c r="E635" s="36"/>
    </row>
    <row r="636" spans="1:5" ht="14.25" customHeight="1" x14ac:dyDescent="0.25">
      <c r="A636" s="7"/>
      <c r="B636" s="35"/>
      <c r="C636" s="36"/>
      <c r="D636" s="36"/>
      <c r="E636" s="36"/>
    </row>
    <row r="637" spans="1:5" ht="14.25" customHeight="1" x14ac:dyDescent="0.25">
      <c r="A637" s="7"/>
      <c r="B637" s="35"/>
      <c r="C637" s="36"/>
      <c r="D637" s="36"/>
      <c r="E637" s="36"/>
    </row>
    <row r="638" spans="1:5" ht="14.25" customHeight="1" x14ac:dyDescent="0.25">
      <c r="A638" s="7"/>
      <c r="B638" s="35"/>
      <c r="C638" s="36"/>
      <c r="D638" s="36"/>
      <c r="E638" s="36"/>
    </row>
    <row r="639" spans="1:5" ht="14.25" customHeight="1" x14ac:dyDescent="0.25">
      <c r="A639" s="7"/>
      <c r="B639" s="35"/>
      <c r="C639" s="36"/>
      <c r="D639" s="36"/>
      <c r="E639" s="36"/>
    </row>
    <row r="640" spans="1:5" ht="14.25" customHeight="1" x14ac:dyDescent="0.25">
      <c r="A640" s="7"/>
      <c r="B640" s="35"/>
      <c r="C640" s="36"/>
      <c r="D640" s="36"/>
      <c r="E640" s="36"/>
    </row>
    <row r="641" spans="1:5" ht="14.25" customHeight="1" x14ac:dyDescent="0.25">
      <c r="A641" s="7"/>
      <c r="B641" s="35"/>
      <c r="C641" s="36"/>
      <c r="D641" s="36"/>
      <c r="E641" s="36"/>
    </row>
    <row r="642" spans="1:5" ht="14.25" customHeight="1" x14ac:dyDescent="0.25">
      <c r="A642" s="7"/>
      <c r="B642" s="35"/>
      <c r="C642" s="36"/>
      <c r="D642" s="36"/>
      <c r="E642" s="36"/>
    </row>
    <row r="643" spans="1:5" ht="14.25" customHeight="1" x14ac:dyDescent="0.25">
      <c r="A643" s="7"/>
      <c r="B643" s="35"/>
      <c r="C643" s="36"/>
      <c r="D643" s="36"/>
      <c r="E643" s="36"/>
    </row>
    <row r="644" spans="1:5" ht="14.25" customHeight="1" x14ac:dyDescent="0.25">
      <c r="A644" s="7"/>
      <c r="B644" s="35"/>
      <c r="C644" s="36"/>
      <c r="D644" s="36"/>
      <c r="E644" s="36"/>
    </row>
    <row r="645" spans="1:5" ht="14.25" customHeight="1" x14ac:dyDescent="0.25">
      <c r="A645" s="7"/>
      <c r="B645" s="35"/>
      <c r="C645" s="36"/>
      <c r="D645" s="36"/>
      <c r="E645" s="36"/>
    </row>
    <row r="646" spans="1:5" ht="14.25" customHeight="1" x14ac:dyDescent="0.25">
      <c r="A646" s="7"/>
      <c r="B646" s="35"/>
      <c r="C646" s="36"/>
      <c r="D646" s="36"/>
      <c r="E646" s="36"/>
    </row>
    <row r="647" spans="1:5" ht="14.25" customHeight="1" x14ac:dyDescent="0.25">
      <c r="A647" s="7"/>
      <c r="B647" s="35"/>
      <c r="C647" s="36"/>
      <c r="D647" s="36"/>
      <c r="E647" s="36"/>
    </row>
    <row r="648" spans="1:5" ht="14.25" customHeight="1" x14ac:dyDescent="0.25">
      <c r="A648" s="7"/>
      <c r="B648" s="35"/>
      <c r="C648" s="36"/>
      <c r="D648" s="36"/>
      <c r="E648" s="36"/>
    </row>
    <row r="649" spans="1:5" ht="14.25" customHeight="1" x14ac:dyDescent="0.25">
      <c r="A649" s="7"/>
      <c r="B649" s="35"/>
      <c r="C649" s="36"/>
      <c r="D649" s="36"/>
      <c r="E649" s="36"/>
    </row>
    <row r="650" spans="1:5" ht="14.25" customHeight="1" x14ac:dyDescent="0.25">
      <c r="A650" s="7"/>
      <c r="B650" s="35"/>
      <c r="C650" s="36"/>
      <c r="D650" s="36"/>
      <c r="E650" s="36"/>
    </row>
    <row r="651" spans="1:5" ht="14.25" customHeight="1" x14ac:dyDescent="0.25">
      <c r="A651" s="7"/>
      <c r="B651" s="35"/>
      <c r="C651" s="36"/>
      <c r="D651" s="36"/>
      <c r="E651" s="36"/>
    </row>
    <row r="652" spans="1:5" ht="14.25" customHeight="1" x14ac:dyDescent="0.25">
      <c r="A652" s="7"/>
      <c r="B652" s="35"/>
      <c r="C652" s="36"/>
      <c r="D652" s="36"/>
      <c r="E652" s="36"/>
    </row>
    <row r="653" spans="1:5" ht="14.25" customHeight="1" x14ac:dyDescent="0.25">
      <c r="A653" s="7"/>
      <c r="B653" s="35"/>
      <c r="C653" s="36"/>
      <c r="D653" s="36"/>
      <c r="E653" s="36"/>
    </row>
    <row r="654" spans="1:5" ht="14.25" customHeight="1" x14ac:dyDescent="0.25">
      <c r="A654" s="7"/>
      <c r="B654" s="35"/>
      <c r="C654" s="36"/>
      <c r="D654" s="36"/>
      <c r="E654" s="36"/>
    </row>
    <row r="655" spans="1:5" ht="14.25" customHeight="1" x14ac:dyDescent="0.25">
      <c r="A655" s="7"/>
      <c r="B655" s="35"/>
      <c r="C655" s="36"/>
      <c r="D655" s="36"/>
      <c r="E655" s="36"/>
    </row>
    <row r="656" spans="1:5" ht="14.25" customHeight="1" x14ac:dyDescent="0.25">
      <c r="A656" s="7"/>
      <c r="B656" s="35"/>
      <c r="C656" s="36"/>
      <c r="D656" s="36"/>
      <c r="E656" s="36"/>
    </row>
    <row r="657" spans="1:5" ht="14.25" customHeight="1" x14ac:dyDescent="0.25">
      <c r="A657" s="7"/>
      <c r="B657" s="35"/>
      <c r="C657" s="36"/>
      <c r="D657" s="36"/>
      <c r="E657" s="36"/>
    </row>
    <row r="658" spans="1:5" ht="14.25" customHeight="1" x14ac:dyDescent="0.25">
      <c r="A658" s="7"/>
      <c r="B658" s="35"/>
      <c r="C658" s="36"/>
      <c r="D658" s="36"/>
      <c r="E658" s="36"/>
    </row>
    <row r="659" spans="1:5" ht="14.25" customHeight="1" x14ac:dyDescent="0.25">
      <c r="A659" s="7"/>
      <c r="B659" s="35"/>
      <c r="C659" s="36"/>
      <c r="D659" s="36"/>
      <c r="E659" s="36"/>
    </row>
    <row r="660" spans="1:5" ht="14.25" customHeight="1" x14ac:dyDescent="0.25">
      <c r="A660" s="7"/>
      <c r="B660" s="35"/>
      <c r="C660" s="36"/>
      <c r="D660" s="36"/>
      <c r="E660" s="36"/>
    </row>
    <row r="661" spans="1:5" ht="14.25" customHeight="1" x14ac:dyDescent="0.25">
      <c r="A661" s="7"/>
      <c r="B661" s="35"/>
      <c r="C661" s="36"/>
      <c r="D661" s="36"/>
      <c r="E661" s="36"/>
    </row>
    <row r="662" spans="1:5" ht="14.25" customHeight="1" x14ac:dyDescent="0.25">
      <c r="A662" s="7"/>
      <c r="B662" s="35"/>
      <c r="C662" s="36"/>
      <c r="D662" s="36"/>
      <c r="E662" s="36"/>
    </row>
    <row r="663" spans="1:5" ht="14.25" customHeight="1" x14ac:dyDescent="0.25">
      <c r="A663" s="7"/>
      <c r="B663" s="35"/>
      <c r="C663" s="36"/>
      <c r="D663" s="36"/>
      <c r="E663" s="36"/>
    </row>
    <row r="664" spans="1:5" ht="14.25" customHeight="1" x14ac:dyDescent="0.25">
      <c r="A664" s="7"/>
      <c r="B664" s="35"/>
      <c r="C664" s="36"/>
      <c r="D664" s="36"/>
      <c r="E664" s="36"/>
    </row>
    <row r="665" spans="1:5" ht="14.25" customHeight="1" x14ac:dyDescent="0.25">
      <c r="A665" s="7"/>
      <c r="B665" s="35"/>
      <c r="C665" s="36"/>
      <c r="D665" s="36"/>
      <c r="E665" s="36"/>
    </row>
    <row r="666" spans="1:5" ht="14.25" customHeight="1" x14ac:dyDescent="0.25">
      <c r="A666" s="7"/>
      <c r="B666" s="35"/>
      <c r="C666" s="36"/>
      <c r="D666" s="36"/>
      <c r="E666" s="36"/>
    </row>
    <row r="667" spans="1:5" ht="14.25" customHeight="1" x14ac:dyDescent="0.25">
      <c r="A667" s="7"/>
      <c r="B667" s="35"/>
      <c r="C667" s="36"/>
      <c r="D667" s="36"/>
      <c r="E667" s="36"/>
    </row>
    <row r="668" spans="1:5" ht="14.25" customHeight="1" x14ac:dyDescent="0.25">
      <c r="A668" s="7"/>
      <c r="B668" s="35"/>
      <c r="C668" s="36"/>
      <c r="D668" s="36"/>
      <c r="E668" s="36"/>
    </row>
    <row r="669" spans="1:5" ht="14.25" customHeight="1" x14ac:dyDescent="0.25">
      <c r="A669" s="7"/>
      <c r="B669" s="35"/>
      <c r="C669" s="36"/>
      <c r="D669" s="36"/>
      <c r="E669" s="36"/>
    </row>
    <row r="670" spans="1:5" ht="14.25" customHeight="1" x14ac:dyDescent="0.25">
      <c r="A670" s="7"/>
      <c r="B670" s="35"/>
      <c r="C670" s="36"/>
      <c r="D670" s="36"/>
      <c r="E670" s="36"/>
    </row>
    <row r="671" spans="1:5" ht="14.25" customHeight="1" x14ac:dyDescent="0.25">
      <c r="A671" s="7"/>
      <c r="B671" s="35"/>
      <c r="C671" s="36"/>
      <c r="D671" s="36"/>
      <c r="E671" s="36"/>
    </row>
    <row r="672" spans="1:5" ht="14.25" customHeight="1" x14ac:dyDescent="0.25">
      <c r="A672" s="7"/>
      <c r="B672" s="35"/>
      <c r="C672" s="36"/>
      <c r="D672" s="36"/>
      <c r="E672" s="36"/>
    </row>
    <row r="673" spans="1:5" ht="14.25" customHeight="1" x14ac:dyDescent="0.25">
      <c r="A673" s="7"/>
      <c r="B673" s="35"/>
      <c r="C673" s="36"/>
      <c r="D673" s="36"/>
      <c r="E673" s="36"/>
    </row>
    <row r="674" spans="1:5" ht="14.25" customHeight="1" x14ac:dyDescent="0.25">
      <c r="A674" s="7"/>
      <c r="B674" s="35"/>
      <c r="C674" s="36"/>
      <c r="D674" s="36"/>
      <c r="E674" s="36"/>
    </row>
    <row r="675" spans="1:5" ht="14.25" customHeight="1" x14ac:dyDescent="0.25">
      <c r="A675" s="7"/>
      <c r="B675" s="35"/>
      <c r="C675" s="36"/>
      <c r="D675" s="36"/>
      <c r="E675" s="36"/>
    </row>
    <row r="676" spans="1:5" ht="14.25" customHeight="1" x14ac:dyDescent="0.25">
      <c r="A676" s="7"/>
      <c r="B676" s="35"/>
      <c r="C676" s="36"/>
      <c r="D676" s="36"/>
      <c r="E676" s="36"/>
    </row>
    <row r="677" spans="1:5" ht="14.25" customHeight="1" x14ac:dyDescent="0.25">
      <c r="A677" s="7"/>
      <c r="B677" s="35"/>
      <c r="C677" s="36"/>
      <c r="D677" s="36"/>
      <c r="E677" s="36"/>
    </row>
    <row r="678" spans="1:5" ht="14.25" customHeight="1" x14ac:dyDescent="0.25">
      <c r="A678" s="7"/>
      <c r="B678" s="35"/>
      <c r="C678" s="36"/>
      <c r="D678" s="36"/>
      <c r="E678" s="36"/>
    </row>
    <row r="679" spans="1:5" ht="14.25" customHeight="1" x14ac:dyDescent="0.25">
      <c r="A679" s="7"/>
      <c r="B679" s="35"/>
      <c r="C679" s="36"/>
      <c r="D679" s="36"/>
      <c r="E679" s="36"/>
    </row>
    <row r="680" spans="1:5" ht="14.25" customHeight="1" x14ac:dyDescent="0.25">
      <c r="A680" s="7"/>
      <c r="B680" s="35"/>
      <c r="C680" s="36"/>
      <c r="D680" s="36"/>
      <c r="E680" s="36"/>
    </row>
    <row r="681" spans="1:5" ht="14.25" customHeight="1" x14ac:dyDescent="0.25">
      <c r="A681" s="7"/>
      <c r="B681" s="35"/>
      <c r="C681" s="36"/>
      <c r="D681" s="36"/>
      <c r="E681" s="36"/>
    </row>
    <row r="682" spans="1:5" ht="14.25" customHeight="1" x14ac:dyDescent="0.25">
      <c r="A682" s="7"/>
      <c r="B682" s="35"/>
      <c r="C682" s="36"/>
      <c r="D682" s="36"/>
      <c r="E682" s="36"/>
    </row>
    <row r="683" spans="1:5" ht="14.25" customHeight="1" x14ac:dyDescent="0.25">
      <c r="A683" s="7"/>
      <c r="B683" s="35"/>
      <c r="C683" s="36"/>
      <c r="D683" s="36"/>
      <c r="E683" s="36"/>
    </row>
    <row r="684" spans="1:5" ht="14.25" customHeight="1" x14ac:dyDescent="0.25">
      <c r="A684" s="7"/>
      <c r="B684" s="35"/>
      <c r="C684" s="36"/>
      <c r="D684" s="36"/>
      <c r="E684" s="36"/>
    </row>
    <row r="685" spans="1:5" ht="14.25" customHeight="1" x14ac:dyDescent="0.25">
      <c r="A685" s="7"/>
      <c r="B685" s="35"/>
      <c r="C685" s="36"/>
      <c r="D685" s="36"/>
      <c r="E685" s="36"/>
    </row>
    <row r="686" spans="1:5" ht="14.25" customHeight="1" x14ac:dyDescent="0.25">
      <c r="A686" s="7"/>
      <c r="B686" s="35"/>
      <c r="C686" s="36"/>
      <c r="D686" s="36"/>
      <c r="E686" s="36"/>
    </row>
    <row r="687" spans="1:5" ht="14.25" customHeight="1" x14ac:dyDescent="0.25">
      <c r="A687" s="7"/>
      <c r="B687" s="35"/>
      <c r="C687" s="36"/>
      <c r="D687" s="36"/>
      <c r="E687" s="36"/>
    </row>
    <row r="688" spans="1:5" ht="14.25" customHeight="1" x14ac:dyDescent="0.25">
      <c r="A688" s="7"/>
      <c r="B688" s="35"/>
      <c r="C688" s="36"/>
      <c r="D688" s="36"/>
      <c r="E688" s="36"/>
    </row>
    <row r="689" spans="1:5" ht="14.25" customHeight="1" x14ac:dyDescent="0.25">
      <c r="A689" s="7"/>
      <c r="B689" s="35"/>
      <c r="C689" s="36"/>
      <c r="D689" s="36"/>
      <c r="E689" s="36"/>
    </row>
    <row r="690" spans="1:5" ht="14.25" customHeight="1" x14ac:dyDescent="0.25">
      <c r="A690" s="7"/>
      <c r="B690" s="35"/>
      <c r="C690" s="36"/>
      <c r="D690" s="36"/>
      <c r="E690" s="36"/>
    </row>
    <row r="691" spans="1:5" ht="14.25" customHeight="1" x14ac:dyDescent="0.25">
      <c r="A691" s="7"/>
      <c r="B691" s="35"/>
      <c r="C691" s="36"/>
      <c r="D691" s="36"/>
      <c r="E691" s="36"/>
    </row>
    <row r="692" spans="1:5" ht="14.25" customHeight="1" x14ac:dyDescent="0.25">
      <c r="A692" s="7"/>
      <c r="B692" s="35"/>
      <c r="C692" s="36"/>
      <c r="D692" s="36"/>
      <c r="E692" s="36"/>
    </row>
    <row r="693" spans="1:5" ht="14.25" customHeight="1" x14ac:dyDescent="0.25">
      <c r="A693" s="7"/>
      <c r="B693" s="35"/>
      <c r="C693" s="36"/>
      <c r="D693" s="36"/>
      <c r="E693" s="36"/>
    </row>
    <row r="694" spans="1:5" ht="14.25" customHeight="1" x14ac:dyDescent="0.25">
      <c r="A694" s="7"/>
      <c r="B694" s="35"/>
      <c r="C694" s="36"/>
      <c r="D694" s="36"/>
      <c r="E694" s="36"/>
    </row>
    <row r="695" spans="1:5" ht="14.25" customHeight="1" x14ac:dyDescent="0.25">
      <c r="A695" s="7"/>
      <c r="B695" s="35"/>
      <c r="C695" s="36"/>
      <c r="D695" s="36"/>
      <c r="E695" s="36"/>
    </row>
    <row r="696" spans="1:5" ht="14.25" customHeight="1" x14ac:dyDescent="0.25">
      <c r="A696" s="7"/>
      <c r="B696" s="35"/>
      <c r="C696" s="36"/>
      <c r="D696" s="36"/>
      <c r="E696" s="36"/>
    </row>
    <row r="697" spans="1:5" ht="14.25" customHeight="1" x14ac:dyDescent="0.25">
      <c r="A697" s="7"/>
      <c r="B697" s="35"/>
      <c r="C697" s="36"/>
      <c r="D697" s="36"/>
      <c r="E697" s="36"/>
    </row>
    <row r="698" spans="1:5" ht="14.25" customHeight="1" x14ac:dyDescent="0.25">
      <c r="A698" s="7"/>
      <c r="B698" s="35"/>
      <c r="C698" s="36"/>
      <c r="D698" s="36"/>
      <c r="E698" s="36"/>
    </row>
    <row r="699" spans="1:5" ht="14.25" customHeight="1" x14ac:dyDescent="0.25">
      <c r="A699" s="7"/>
      <c r="B699" s="35"/>
      <c r="C699" s="36"/>
      <c r="D699" s="36"/>
      <c r="E699" s="36"/>
    </row>
    <row r="700" spans="1:5" ht="14.25" customHeight="1" x14ac:dyDescent="0.25">
      <c r="A700" s="7"/>
      <c r="B700" s="35"/>
      <c r="C700" s="36"/>
      <c r="D700" s="36"/>
      <c r="E700" s="36"/>
    </row>
    <row r="701" spans="1:5" ht="14.25" customHeight="1" x14ac:dyDescent="0.25">
      <c r="A701" s="7"/>
      <c r="B701" s="35"/>
      <c r="C701" s="36"/>
      <c r="D701" s="36"/>
      <c r="E701" s="36"/>
    </row>
    <row r="702" spans="1:5" ht="14.25" customHeight="1" x14ac:dyDescent="0.25">
      <c r="A702" s="7"/>
      <c r="B702" s="35"/>
      <c r="C702" s="36"/>
      <c r="D702" s="36"/>
      <c r="E702" s="36"/>
    </row>
    <row r="703" spans="1:5" ht="14.25" customHeight="1" x14ac:dyDescent="0.25">
      <c r="A703" s="7"/>
      <c r="B703" s="35"/>
      <c r="C703" s="36"/>
      <c r="D703" s="36"/>
      <c r="E703" s="36"/>
    </row>
    <row r="704" spans="1:5" ht="14.25" customHeight="1" x14ac:dyDescent="0.25">
      <c r="A704" s="7"/>
      <c r="B704" s="35"/>
      <c r="C704" s="36"/>
      <c r="D704" s="36"/>
      <c r="E704" s="36"/>
    </row>
    <row r="705" spans="1:5" ht="14.25" customHeight="1" x14ac:dyDescent="0.25">
      <c r="A705" s="7"/>
      <c r="B705" s="35"/>
      <c r="C705" s="36"/>
      <c r="D705" s="36"/>
      <c r="E705" s="36"/>
    </row>
    <row r="706" spans="1:5" ht="14.25" customHeight="1" x14ac:dyDescent="0.25">
      <c r="A706" s="7"/>
      <c r="B706" s="35"/>
      <c r="C706" s="36"/>
      <c r="D706" s="36"/>
      <c r="E706" s="36"/>
    </row>
    <row r="707" spans="1:5" ht="14.25" customHeight="1" x14ac:dyDescent="0.25">
      <c r="A707" s="7"/>
      <c r="B707" s="35"/>
      <c r="C707" s="36"/>
      <c r="D707" s="36"/>
      <c r="E707" s="36"/>
    </row>
    <row r="708" spans="1:5" ht="14.25" customHeight="1" x14ac:dyDescent="0.25">
      <c r="A708" s="7"/>
      <c r="B708" s="35"/>
      <c r="C708" s="36"/>
      <c r="D708" s="36"/>
      <c r="E708" s="36"/>
    </row>
    <row r="709" spans="1:5" ht="14.25" customHeight="1" x14ac:dyDescent="0.25">
      <c r="A709" s="7"/>
      <c r="B709" s="35"/>
      <c r="C709" s="36"/>
      <c r="D709" s="36"/>
      <c r="E709" s="36"/>
    </row>
    <row r="710" spans="1:5" ht="14.25" customHeight="1" x14ac:dyDescent="0.25">
      <c r="A710" s="7"/>
      <c r="B710" s="35"/>
      <c r="C710" s="36"/>
      <c r="D710" s="36"/>
      <c r="E710" s="36"/>
    </row>
    <row r="711" spans="1:5" ht="14.25" customHeight="1" x14ac:dyDescent="0.25">
      <c r="A711" s="7"/>
      <c r="B711" s="35"/>
      <c r="C711" s="36"/>
      <c r="D711" s="36"/>
      <c r="E711" s="36"/>
    </row>
    <row r="712" spans="1:5" ht="14.25" customHeight="1" x14ac:dyDescent="0.25">
      <c r="A712" s="7"/>
      <c r="B712" s="35"/>
      <c r="C712" s="36"/>
      <c r="D712" s="36"/>
      <c r="E712" s="36"/>
    </row>
    <row r="713" spans="1:5" ht="14.25" customHeight="1" x14ac:dyDescent="0.25">
      <c r="A713" s="7"/>
      <c r="B713" s="35"/>
      <c r="C713" s="36"/>
      <c r="D713" s="36"/>
      <c r="E713" s="36"/>
    </row>
    <row r="714" spans="1:5" ht="14.25" customHeight="1" x14ac:dyDescent="0.25">
      <c r="A714" s="7"/>
      <c r="B714" s="35"/>
      <c r="C714" s="36"/>
      <c r="D714" s="36"/>
      <c r="E714" s="36"/>
    </row>
    <row r="715" spans="1:5" ht="14.25" customHeight="1" x14ac:dyDescent="0.25">
      <c r="A715" s="7"/>
      <c r="B715" s="35"/>
      <c r="C715" s="36"/>
      <c r="D715" s="36"/>
      <c r="E715" s="36"/>
    </row>
    <row r="716" spans="1:5" ht="14.25" customHeight="1" x14ac:dyDescent="0.25">
      <c r="A716" s="7"/>
      <c r="B716" s="35"/>
      <c r="C716" s="36"/>
      <c r="D716" s="36"/>
      <c r="E716" s="36"/>
    </row>
    <row r="717" spans="1:5" ht="14.25" customHeight="1" x14ac:dyDescent="0.25">
      <c r="A717" s="7"/>
      <c r="B717" s="35"/>
      <c r="C717" s="36"/>
      <c r="D717" s="36"/>
      <c r="E717" s="36"/>
    </row>
    <row r="718" spans="1:5" ht="14.25" customHeight="1" x14ac:dyDescent="0.25">
      <c r="A718" s="7"/>
      <c r="B718" s="35"/>
      <c r="C718" s="36"/>
      <c r="D718" s="36"/>
      <c r="E718" s="36"/>
    </row>
    <row r="719" spans="1:5" ht="14.25" customHeight="1" x14ac:dyDescent="0.25">
      <c r="A719" s="7"/>
      <c r="B719" s="35"/>
      <c r="C719" s="36"/>
      <c r="D719" s="36"/>
      <c r="E719" s="36"/>
    </row>
    <row r="720" spans="1:5" ht="14.25" customHeight="1" x14ac:dyDescent="0.25">
      <c r="A720" s="7"/>
      <c r="B720" s="35"/>
      <c r="C720" s="36"/>
      <c r="D720" s="36"/>
      <c r="E720" s="36"/>
    </row>
    <row r="721" spans="1:5" ht="14.25" customHeight="1" x14ac:dyDescent="0.25">
      <c r="A721" s="7"/>
      <c r="B721" s="35"/>
      <c r="C721" s="36"/>
      <c r="D721" s="36"/>
      <c r="E721" s="36"/>
    </row>
    <row r="722" spans="1:5" ht="14.25" customHeight="1" x14ac:dyDescent="0.25">
      <c r="A722" s="7"/>
      <c r="B722" s="35"/>
      <c r="C722" s="36"/>
      <c r="D722" s="36"/>
      <c r="E722" s="36"/>
    </row>
    <row r="723" spans="1:5" ht="14.25" customHeight="1" x14ac:dyDescent="0.25">
      <c r="A723" s="7"/>
      <c r="B723" s="35"/>
      <c r="C723" s="36"/>
      <c r="D723" s="36"/>
      <c r="E723" s="36"/>
    </row>
    <row r="724" spans="1:5" ht="14.25" customHeight="1" x14ac:dyDescent="0.25">
      <c r="A724" s="7"/>
      <c r="B724" s="35"/>
      <c r="C724" s="36"/>
      <c r="D724" s="36"/>
      <c r="E724" s="36"/>
    </row>
    <row r="725" spans="1:5" ht="14.25" customHeight="1" x14ac:dyDescent="0.25">
      <c r="A725" s="7"/>
      <c r="B725" s="35"/>
      <c r="C725" s="36"/>
      <c r="D725" s="36"/>
      <c r="E725" s="36"/>
    </row>
    <row r="726" spans="1:5" ht="14.25" customHeight="1" x14ac:dyDescent="0.25">
      <c r="A726" s="7"/>
      <c r="B726" s="35"/>
      <c r="C726" s="36"/>
      <c r="D726" s="36"/>
      <c r="E726" s="36"/>
    </row>
    <row r="727" spans="1:5" ht="14.25" customHeight="1" x14ac:dyDescent="0.25">
      <c r="A727" s="7"/>
      <c r="B727" s="35"/>
      <c r="C727" s="36"/>
      <c r="D727" s="36"/>
      <c r="E727" s="36"/>
    </row>
    <row r="728" spans="1:5" ht="14.25" customHeight="1" x14ac:dyDescent="0.25">
      <c r="A728" s="7"/>
      <c r="B728" s="35"/>
      <c r="C728" s="36"/>
      <c r="D728" s="36"/>
      <c r="E728" s="36"/>
    </row>
    <row r="729" spans="1:5" ht="14.25" customHeight="1" x14ac:dyDescent="0.25">
      <c r="A729" s="7"/>
      <c r="B729" s="35"/>
      <c r="C729" s="36"/>
      <c r="D729" s="36"/>
      <c r="E729" s="36"/>
    </row>
    <row r="730" spans="1:5" ht="14.25" customHeight="1" x14ac:dyDescent="0.25">
      <c r="A730" s="7"/>
      <c r="B730" s="35"/>
      <c r="C730" s="36"/>
      <c r="D730" s="36"/>
      <c r="E730" s="36"/>
    </row>
    <row r="731" spans="1:5" ht="14.25" customHeight="1" x14ac:dyDescent="0.25">
      <c r="A731" s="7"/>
      <c r="B731" s="35"/>
      <c r="C731" s="36"/>
      <c r="D731" s="36"/>
      <c r="E731" s="36"/>
    </row>
    <row r="732" spans="1:5" ht="14.25" customHeight="1" x14ac:dyDescent="0.25">
      <c r="A732" s="7"/>
      <c r="B732" s="35"/>
      <c r="C732" s="36"/>
      <c r="D732" s="36"/>
      <c r="E732" s="36"/>
    </row>
    <row r="733" spans="1:5" ht="14.25" customHeight="1" x14ac:dyDescent="0.25">
      <c r="A733" s="7"/>
      <c r="B733" s="35"/>
      <c r="C733" s="36"/>
      <c r="D733" s="36"/>
      <c r="E733" s="36"/>
    </row>
    <row r="734" spans="1:5" ht="14.25" customHeight="1" x14ac:dyDescent="0.25">
      <c r="A734" s="7"/>
      <c r="B734" s="35"/>
      <c r="C734" s="36"/>
      <c r="D734" s="36"/>
      <c r="E734" s="36"/>
    </row>
    <row r="735" spans="1:5" ht="14.25" customHeight="1" x14ac:dyDescent="0.25">
      <c r="A735" s="7"/>
      <c r="B735" s="35"/>
      <c r="C735" s="36"/>
      <c r="D735" s="36"/>
      <c r="E735" s="36"/>
    </row>
    <row r="736" spans="1:5" ht="14.25" customHeight="1" x14ac:dyDescent="0.25">
      <c r="A736" s="7"/>
      <c r="B736" s="35"/>
      <c r="C736" s="36"/>
      <c r="D736" s="36"/>
      <c r="E736" s="36"/>
    </row>
    <row r="737" spans="1:5" ht="14.25" customHeight="1" x14ac:dyDescent="0.25">
      <c r="A737" s="7"/>
      <c r="B737" s="35"/>
      <c r="C737" s="36"/>
      <c r="D737" s="36"/>
      <c r="E737" s="36"/>
    </row>
    <row r="738" spans="1:5" ht="14.25" customHeight="1" x14ac:dyDescent="0.25">
      <c r="A738" s="7"/>
      <c r="B738" s="35"/>
      <c r="C738" s="36"/>
      <c r="D738" s="36"/>
      <c r="E738" s="36"/>
    </row>
    <row r="739" spans="1:5" ht="14.25" customHeight="1" x14ac:dyDescent="0.25">
      <c r="A739" s="7"/>
      <c r="B739" s="35"/>
      <c r="C739" s="36"/>
      <c r="D739" s="36"/>
      <c r="E739" s="36"/>
    </row>
    <row r="740" spans="1:5" ht="14.25" customHeight="1" x14ac:dyDescent="0.25">
      <c r="A740" s="7"/>
      <c r="B740" s="35"/>
      <c r="C740" s="36"/>
      <c r="D740" s="36"/>
      <c r="E740" s="36"/>
    </row>
    <row r="741" spans="1:5" ht="14.25" customHeight="1" x14ac:dyDescent="0.25">
      <c r="A741" s="7"/>
      <c r="B741" s="35"/>
      <c r="C741" s="36"/>
      <c r="D741" s="36"/>
      <c r="E741" s="36"/>
    </row>
    <row r="742" spans="1:5" ht="14.25" customHeight="1" x14ac:dyDescent="0.25">
      <c r="A742" s="7"/>
      <c r="B742" s="35"/>
      <c r="C742" s="36"/>
      <c r="D742" s="36"/>
      <c r="E742" s="36"/>
    </row>
    <row r="743" spans="1:5" ht="14.25" customHeight="1" x14ac:dyDescent="0.25">
      <c r="A743" s="7"/>
      <c r="B743" s="35"/>
      <c r="C743" s="36"/>
      <c r="D743" s="36"/>
      <c r="E743" s="36"/>
    </row>
    <row r="744" spans="1:5" ht="14.25" customHeight="1" x14ac:dyDescent="0.25">
      <c r="A744" s="7"/>
      <c r="B744" s="35"/>
      <c r="C744" s="36"/>
      <c r="D744" s="36"/>
      <c r="E744" s="36"/>
    </row>
    <row r="745" spans="1:5" ht="14.25" customHeight="1" x14ac:dyDescent="0.25">
      <c r="A745" s="7"/>
      <c r="B745" s="35"/>
      <c r="C745" s="36"/>
      <c r="D745" s="36"/>
      <c r="E745" s="36"/>
    </row>
    <row r="746" spans="1:5" ht="14.25" customHeight="1" x14ac:dyDescent="0.25">
      <c r="A746" s="7"/>
      <c r="B746" s="35"/>
      <c r="C746" s="36"/>
      <c r="D746" s="36"/>
      <c r="E746" s="36"/>
    </row>
    <row r="747" spans="1:5" ht="14.25" customHeight="1" x14ac:dyDescent="0.25">
      <c r="A747" s="7"/>
      <c r="B747" s="35"/>
      <c r="C747" s="36"/>
      <c r="D747" s="36"/>
      <c r="E747" s="36"/>
    </row>
    <row r="748" spans="1:5" ht="14.25" customHeight="1" x14ac:dyDescent="0.25">
      <c r="A748" s="7"/>
      <c r="B748" s="35"/>
      <c r="C748" s="36"/>
      <c r="D748" s="36"/>
      <c r="E748" s="36"/>
    </row>
    <row r="749" spans="1:5" ht="14.25" customHeight="1" x14ac:dyDescent="0.25">
      <c r="A749" s="7"/>
      <c r="B749" s="35"/>
      <c r="C749" s="36"/>
      <c r="D749" s="36"/>
      <c r="E749" s="36"/>
    </row>
    <row r="750" spans="1:5" ht="14.25" customHeight="1" x14ac:dyDescent="0.25">
      <c r="A750" s="7"/>
      <c r="B750" s="35"/>
      <c r="C750" s="36"/>
      <c r="D750" s="36"/>
      <c r="E750" s="36"/>
    </row>
    <row r="751" spans="1:5" ht="14.25" customHeight="1" x14ac:dyDescent="0.25">
      <c r="A751" s="7"/>
      <c r="B751" s="35"/>
      <c r="C751" s="36"/>
      <c r="D751" s="36"/>
      <c r="E751" s="36"/>
    </row>
    <row r="752" spans="1:5" ht="14.25" customHeight="1" x14ac:dyDescent="0.25">
      <c r="A752" s="7"/>
      <c r="B752" s="35"/>
      <c r="C752" s="36"/>
      <c r="D752" s="36"/>
      <c r="E752" s="36"/>
    </row>
    <row r="753" spans="1:5" ht="14.25" customHeight="1" x14ac:dyDescent="0.25">
      <c r="A753" s="7"/>
      <c r="B753" s="35"/>
      <c r="C753" s="36"/>
      <c r="D753" s="36"/>
      <c r="E753" s="36"/>
    </row>
    <row r="754" spans="1:5" ht="14.25" customHeight="1" x14ac:dyDescent="0.25">
      <c r="A754" s="7"/>
      <c r="B754" s="35"/>
      <c r="C754" s="36"/>
      <c r="D754" s="36"/>
      <c r="E754" s="36"/>
    </row>
    <row r="755" spans="1:5" ht="14.25" customHeight="1" x14ac:dyDescent="0.25">
      <c r="A755" s="7"/>
      <c r="B755" s="35"/>
      <c r="C755" s="36"/>
      <c r="D755" s="36"/>
      <c r="E755" s="36"/>
    </row>
    <row r="756" spans="1:5" ht="14.25" customHeight="1" x14ac:dyDescent="0.25">
      <c r="A756" s="7"/>
      <c r="B756" s="35"/>
      <c r="C756" s="36"/>
      <c r="D756" s="36"/>
      <c r="E756" s="36"/>
    </row>
    <row r="757" spans="1:5" ht="14.25" customHeight="1" x14ac:dyDescent="0.25">
      <c r="A757" s="7"/>
      <c r="B757" s="35"/>
      <c r="C757" s="36"/>
      <c r="D757" s="36"/>
      <c r="E757" s="36"/>
    </row>
    <row r="758" spans="1:5" ht="14.25" customHeight="1" x14ac:dyDescent="0.25">
      <c r="A758" s="7"/>
      <c r="B758" s="35"/>
      <c r="C758" s="36"/>
      <c r="D758" s="36"/>
      <c r="E758" s="36"/>
    </row>
    <row r="759" spans="1:5" ht="14.25" customHeight="1" x14ac:dyDescent="0.25">
      <c r="A759" s="7"/>
      <c r="B759" s="35"/>
      <c r="C759" s="36"/>
      <c r="D759" s="36"/>
      <c r="E759" s="36"/>
    </row>
    <row r="760" spans="1:5" ht="14.25" customHeight="1" x14ac:dyDescent="0.25">
      <c r="A760" s="7"/>
      <c r="B760" s="35"/>
      <c r="C760" s="36"/>
      <c r="D760" s="36"/>
      <c r="E760" s="36"/>
    </row>
    <row r="761" spans="1:5" ht="14.25" customHeight="1" x14ac:dyDescent="0.25">
      <c r="A761" s="7"/>
      <c r="B761" s="35"/>
      <c r="C761" s="36"/>
      <c r="D761" s="36"/>
      <c r="E761" s="36"/>
    </row>
    <row r="762" spans="1:5" ht="14.25" customHeight="1" x14ac:dyDescent="0.25">
      <c r="A762" s="7"/>
      <c r="B762" s="35"/>
      <c r="C762" s="36"/>
      <c r="D762" s="36"/>
      <c r="E762" s="36"/>
    </row>
    <row r="763" spans="1:5" ht="14.25" customHeight="1" x14ac:dyDescent="0.25">
      <c r="A763" s="7"/>
      <c r="B763" s="35"/>
      <c r="C763" s="36"/>
      <c r="D763" s="36"/>
      <c r="E763" s="36"/>
    </row>
    <row r="764" spans="1:5" ht="14.25" customHeight="1" x14ac:dyDescent="0.25">
      <c r="A764" s="7"/>
      <c r="B764" s="35"/>
      <c r="C764" s="36"/>
      <c r="D764" s="36"/>
      <c r="E764" s="36"/>
    </row>
    <row r="765" spans="1:5" ht="14.25" customHeight="1" x14ac:dyDescent="0.25">
      <c r="A765" s="7"/>
      <c r="B765" s="35"/>
      <c r="C765" s="36"/>
      <c r="D765" s="36"/>
      <c r="E765" s="36"/>
    </row>
    <row r="766" spans="1:5" ht="14.25" customHeight="1" x14ac:dyDescent="0.25">
      <c r="A766" s="7"/>
      <c r="B766" s="35"/>
      <c r="C766" s="36"/>
      <c r="D766" s="36"/>
      <c r="E766" s="36"/>
    </row>
    <row r="767" spans="1:5" ht="14.25" customHeight="1" x14ac:dyDescent="0.25">
      <c r="A767" s="7"/>
      <c r="B767" s="35"/>
      <c r="C767" s="36"/>
      <c r="D767" s="36"/>
      <c r="E767" s="36"/>
    </row>
    <row r="768" spans="1:5" ht="14.25" customHeight="1" x14ac:dyDescent="0.25">
      <c r="A768" s="7"/>
      <c r="B768" s="35"/>
      <c r="C768" s="36"/>
      <c r="D768" s="36"/>
      <c r="E768" s="36"/>
    </row>
    <row r="769" spans="1:5" ht="14.25" customHeight="1" x14ac:dyDescent="0.25">
      <c r="A769" s="7"/>
      <c r="B769" s="35"/>
      <c r="C769" s="36"/>
      <c r="D769" s="36"/>
      <c r="E769" s="36"/>
    </row>
    <row r="770" spans="1:5" ht="14.25" customHeight="1" x14ac:dyDescent="0.25">
      <c r="A770" s="7"/>
      <c r="B770" s="35"/>
      <c r="C770" s="36"/>
      <c r="D770" s="36"/>
      <c r="E770" s="36"/>
    </row>
    <row r="771" spans="1:5" ht="14.25" customHeight="1" x14ac:dyDescent="0.25">
      <c r="A771" s="7"/>
      <c r="B771" s="35"/>
      <c r="C771" s="36"/>
      <c r="D771" s="36"/>
      <c r="E771" s="36"/>
    </row>
    <row r="772" spans="1:5" ht="14.25" customHeight="1" x14ac:dyDescent="0.25">
      <c r="A772" s="7"/>
      <c r="B772" s="35"/>
      <c r="C772" s="36"/>
      <c r="D772" s="36"/>
      <c r="E772" s="36"/>
    </row>
    <row r="773" spans="1:5" ht="14.25" customHeight="1" x14ac:dyDescent="0.25">
      <c r="A773" s="7"/>
      <c r="B773" s="35"/>
      <c r="C773" s="36"/>
      <c r="D773" s="36"/>
      <c r="E773" s="36"/>
    </row>
    <row r="774" spans="1:5" ht="14.25" customHeight="1" x14ac:dyDescent="0.25">
      <c r="A774" s="7"/>
      <c r="B774" s="35"/>
      <c r="C774" s="36"/>
      <c r="D774" s="36"/>
      <c r="E774" s="36"/>
    </row>
    <row r="775" spans="1:5" ht="14.25" customHeight="1" x14ac:dyDescent="0.25">
      <c r="A775" s="7"/>
      <c r="B775" s="35"/>
      <c r="C775" s="36"/>
      <c r="D775" s="36"/>
      <c r="E775" s="36"/>
    </row>
    <row r="776" spans="1:5" ht="14.25" customHeight="1" x14ac:dyDescent="0.25">
      <c r="A776" s="7"/>
      <c r="B776" s="35"/>
      <c r="C776" s="36"/>
      <c r="D776" s="36"/>
      <c r="E776" s="36"/>
    </row>
    <row r="777" spans="1:5" ht="14.25" customHeight="1" x14ac:dyDescent="0.25">
      <c r="A777" s="7"/>
      <c r="B777" s="35"/>
      <c r="C777" s="36"/>
      <c r="D777" s="36"/>
      <c r="E777" s="36"/>
    </row>
    <row r="778" spans="1:5" ht="14.25" customHeight="1" x14ac:dyDescent="0.25">
      <c r="A778" s="7"/>
      <c r="B778" s="35"/>
      <c r="C778" s="36"/>
      <c r="D778" s="36"/>
      <c r="E778" s="36"/>
    </row>
    <row r="779" spans="1:5" ht="14.25" customHeight="1" x14ac:dyDescent="0.25">
      <c r="A779" s="7"/>
      <c r="B779" s="35"/>
      <c r="C779" s="36"/>
      <c r="D779" s="36"/>
      <c r="E779" s="36"/>
    </row>
    <row r="780" spans="1:5" ht="14.25" customHeight="1" x14ac:dyDescent="0.25">
      <c r="A780" s="7"/>
      <c r="B780" s="35"/>
      <c r="C780" s="36"/>
      <c r="D780" s="36"/>
      <c r="E780" s="36"/>
    </row>
    <row r="781" spans="1:5" ht="14.25" customHeight="1" x14ac:dyDescent="0.25">
      <c r="A781" s="7"/>
      <c r="B781" s="35"/>
      <c r="C781" s="36"/>
      <c r="D781" s="36"/>
      <c r="E781" s="36"/>
    </row>
    <row r="782" spans="1:5" ht="14.25" customHeight="1" x14ac:dyDescent="0.25">
      <c r="A782" s="7"/>
      <c r="B782" s="35"/>
      <c r="C782" s="36"/>
      <c r="D782" s="36"/>
      <c r="E782" s="36"/>
    </row>
    <row r="783" spans="1:5" ht="14.25" customHeight="1" x14ac:dyDescent="0.25">
      <c r="A783" s="7"/>
      <c r="B783" s="35"/>
      <c r="C783" s="36"/>
      <c r="D783" s="36"/>
      <c r="E783" s="36"/>
    </row>
    <row r="784" spans="1:5" ht="14.25" customHeight="1" x14ac:dyDescent="0.25">
      <c r="A784" s="7"/>
      <c r="B784" s="35"/>
      <c r="C784" s="36"/>
      <c r="D784" s="36"/>
      <c r="E784" s="36"/>
    </row>
    <row r="785" spans="1:5" ht="14.25" customHeight="1" x14ac:dyDescent="0.25">
      <c r="A785" s="7"/>
      <c r="B785" s="35"/>
      <c r="C785" s="36"/>
      <c r="D785" s="36"/>
      <c r="E785" s="36"/>
    </row>
    <row r="786" spans="1:5" ht="14.25" customHeight="1" x14ac:dyDescent="0.25">
      <c r="A786" s="7"/>
      <c r="B786" s="35"/>
      <c r="C786" s="36"/>
      <c r="D786" s="36"/>
      <c r="E786" s="36"/>
    </row>
    <row r="787" spans="1:5" ht="14.25" customHeight="1" x14ac:dyDescent="0.25">
      <c r="A787" s="7"/>
      <c r="B787" s="35"/>
      <c r="C787" s="36"/>
      <c r="D787" s="36"/>
      <c r="E787" s="36"/>
    </row>
    <row r="788" spans="1:5" ht="14.25" customHeight="1" x14ac:dyDescent="0.25">
      <c r="A788" s="7"/>
      <c r="B788" s="35"/>
      <c r="C788" s="36"/>
      <c r="D788" s="36"/>
      <c r="E788" s="36"/>
    </row>
    <row r="789" spans="1:5" ht="14.25" customHeight="1" x14ac:dyDescent="0.25">
      <c r="A789" s="7"/>
      <c r="B789" s="35"/>
      <c r="C789" s="36"/>
      <c r="D789" s="36"/>
      <c r="E789" s="36"/>
    </row>
    <row r="790" spans="1:5" ht="14.25" customHeight="1" x14ac:dyDescent="0.25">
      <c r="A790" s="7"/>
      <c r="B790" s="35"/>
      <c r="C790" s="36"/>
      <c r="D790" s="36"/>
      <c r="E790" s="36"/>
    </row>
    <row r="791" spans="1:5" ht="14.25" customHeight="1" x14ac:dyDescent="0.25">
      <c r="A791" s="7"/>
      <c r="B791" s="35"/>
      <c r="C791" s="36"/>
      <c r="D791" s="36"/>
      <c r="E791" s="36"/>
    </row>
    <row r="792" spans="1:5" ht="14.25" customHeight="1" x14ac:dyDescent="0.25">
      <c r="A792" s="7"/>
      <c r="B792" s="35"/>
      <c r="C792" s="36"/>
      <c r="D792" s="36"/>
      <c r="E792" s="36"/>
    </row>
    <row r="793" spans="1:5" ht="14.25" customHeight="1" x14ac:dyDescent="0.25">
      <c r="A793" s="7"/>
      <c r="B793" s="35"/>
      <c r="C793" s="36"/>
      <c r="D793" s="36"/>
      <c r="E793" s="36"/>
    </row>
    <row r="794" spans="1:5" ht="14.25" customHeight="1" x14ac:dyDescent="0.25">
      <c r="A794" s="7"/>
      <c r="B794" s="35"/>
      <c r="C794" s="36"/>
      <c r="D794" s="36"/>
      <c r="E794" s="36"/>
    </row>
    <row r="795" spans="1:5" ht="14.25" customHeight="1" x14ac:dyDescent="0.25">
      <c r="A795" s="7"/>
      <c r="B795" s="35"/>
      <c r="C795" s="36"/>
      <c r="D795" s="36"/>
      <c r="E795" s="36"/>
    </row>
    <row r="796" spans="1:5" ht="14.25" customHeight="1" x14ac:dyDescent="0.25">
      <c r="A796" s="7"/>
      <c r="B796" s="35"/>
      <c r="C796" s="36"/>
      <c r="D796" s="36"/>
      <c r="E796" s="36"/>
    </row>
    <row r="797" spans="1:5" ht="14.25" customHeight="1" x14ac:dyDescent="0.25">
      <c r="A797" s="7"/>
      <c r="B797" s="35"/>
      <c r="C797" s="36"/>
      <c r="D797" s="36"/>
      <c r="E797" s="36"/>
    </row>
    <row r="798" spans="1:5" ht="14.25" customHeight="1" x14ac:dyDescent="0.25">
      <c r="A798" s="7"/>
      <c r="B798" s="35"/>
      <c r="C798" s="36"/>
      <c r="D798" s="36"/>
      <c r="E798" s="36"/>
    </row>
    <row r="799" spans="1:5" ht="14.25" customHeight="1" x14ac:dyDescent="0.25">
      <c r="A799" s="7"/>
      <c r="B799" s="35"/>
      <c r="C799" s="36"/>
      <c r="D799" s="36"/>
      <c r="E799" s="36"/>
    </row>
    <row r="800" spans="1:5" ht="14.25" customHeight="1" x14ac:dyDescent="0.25">
      <c r="A800" s="7"/>
      <c r="B800" s="35"/>
      <c r="C800" s="36"/>
      <c r="D800" s="36"/>
      <c r="E800" s="36"/>
    </row>
    <row r="801" spans="1:5" ht="14.25" customHeight="1" x14ac:dyDescent="0.25">
      <c r="A801" s="7"/>
      <c r="B801" s="35"/>
      <c r="C801" s="36"/>
      <c r="D801" s="36"/>
      <c r="E801" s="36"/>
    </row>
    <row r="802" spans="1:5" ht="14.25" customHeight="1" x14ac:dyDescent="0.25">
      <c r="A802" s="7"/>
      <c r="B802" s="35"/>
      <c r="C802" s="36"/>
      <c r="D802" s="36"/>
      <c r="E802" s="36"/>
    </row>
    <row r="803" spans="1:5" ht="14.25" customHeight="1" x14ac:dyDescent="0.25">
      <c r="A803" s="7"/>
      <c r="B803" s="35"/>
      <c r="C803" s="36"/>
      <c r="D803" s="36"/>
      <c r="E803" s="36"/>
    </row>
    <row r="804" spans="1:5" ht="14.25" customHeight="1" x14ac:dyDescent="0.25">
      <c r="A804" s="7"/>
      <c r="B804" s="35"/>
      <c r="C804" s="36"/>
      <c r="D804" s="36"/>
      <c r="E804" s="36"/>
    </row>
    <row r="805" spans="1:5" ht="14.25" customHeight="1" x14ac:dyDescent="0.25">
      <c r="A805" s="7"/>
      <c r="B805" s="35"/>
      <c r="C805" s="36"/>
      <c r="D805" s="36"/>
      <c r="E805" s="36"/>
    </row>
    <row r="806" spans="1:5" ht="14.25" customHeight="1" x14ac:dyDescent="0.25">
      <c r="A806" s="7"/>
      <c r="B806" s="35"/>
      <c r="C806" s="36"/>
      <c r="D806" s="36"/>
      <c r="E806" s="36"/>
    </row>
    <row r="807" spans="1:5" ht="14.25" customHeight="1" x14ac:dyDescent="0.25">
      <c r="A807" s="7"/>
      <c r="B807" s="35"/>
      <c r="C807" s="36"/>
      <c r="D807" s="36"/>
      <c r="E807" s="36"/>
    </row>
    <row r="808" spans="1:5" ht="14.25" customHeight="1" x14ac:dyDescent="0.25">
      <c r="A808" s="7"/>
      <c r="B808" s="35"/>
      <c r="C808" s="36"/>
      <c r="D808" s="36"/>
      <c r="E808" s="36"/>
    </row>
    <row r="809" spans="1:5" ht="14.25" customHeight="1" x14ac:dyDescent="0.25">
      <c r="A809" s="7"/>
      <c r="B809" s="35"/>
      <c r="C809" s="36"/>
      <c r="D809" s="36"/>
      <c r="E809" s="36"/>
    </row>
    <row r="810" spans="1:5" ht="14.25" customHeight="1" x14ac:dyDescent="0.25">
      <c r="A810" s="7"/>
      <c r="B810" s="35"/>
      <c r="C810" s="36"/>
      <c r="D810" s="36"/>
      <c r="E810" s="36"/>
    </row>
    <row r="811" spans="1:5" ht="14.25" customHeight="1" x14ac:dyDescent="0.25">
      <c r="A811" s="7"/>
      <c r="B811" s="35"/>
      <c r="C811" s="36"/>
      <c r="D811" s="36"/>
      <c r="E811" s="36"/>
    </row>
    <row r="812" spans="1:5" ht="14.25" customHeight="1" x14ac:dyDescent="0.25">
      <c r="A812" s="7"/>
      <c r="B812" s="35"/>
      <c r="C812" s="36"/>
      <c r="D812" s="36"/>
      <c r="E812" s="36"/>
    </row>
    <row r="813" spans="1:5" ht="14.25" customHeight="1" x14ac:dyDescent="0.25">
      <c r="A813" s="7"/>
      <c r="B813" s="35"/>
      <c r="C813" s="36"/>
      <c r="D813" s="36"/>
      <c r="E813" s="36"/>
    </row>
    <row r="814" spans="1:5" ht="14.25" customHeight="1" x14ac:dyDescent="0.25">
      <c r="A814" s="7"/>
      <c r="B814" s="35"/>
      <c r="C814" s="36"/>
      <c r="D814" s="36"/>
      <c r="E814" s="36"/>
    </row>
    <row r="815" spans="1:5" ht="14.25" customHeight="1" x14ac:dyDescent="0.25">
      <c r="A815" s="7"/>
      <c r="B815" s="35"/>
      <c r="C815" s="36"/>
      <c r="D815" s="36"/>
      <c r="E815" s="36"/>
    </row>
    <row r="816" spans="1:5" ht="14.25" customHeight="1" x14ac:dyDescent="0.25">
      <c r="A816" s="7"/>
      <c r="B816" s="35"/>
      <c r="C816" s="36"/>
      <c r="D816" s="36"/>
      <c r="E816" s="36"/>
    </row>
    <row r="817" spans="1:5" ht="14.25" customHeight="1" x14ac:dyDescent="0.25">
      <c r="A817" s="7"/>
      <c r="B817" s="35"/>
      <c r="C817" s="36"/>
      <c r="D817" s="36"/>
      <c r="E817" s="36"/>
    </row>
    <row r="818" spans="1:5" ht="14.25" customHeight="1" x14ac:dyDescent="0.25">
      <c r="A818" s="7"/>
      <c r="B818" s="35"/>
      <c r="C818" s="36"/>
      <c r="D818" s="36"/>
      <c r="E818" s="36"/>
    </row>
    <row r="819" spans="1:5" ht="14.25" customHeight="1" x14ac:dyDescent="0.25">
      <c r="A819" s="7"/>
      <c r="B819" s="35"/>
      <c r="C819" s="36"/>
      <c r="D819" s="36"/>
      <c r="E819" s="36"/>
    </row>
    <row r="820" spans="1:5" ht="14.25" customHeight="1" x14ac:dyDescent="0.25">
      <c r="A820" s="7"/>
      <c r="B820" s="35"/>
      <c r="C820" s="36"/>
      <c r="D820" s="36"/>
      <c r="E820" s="36"/>
    </row>
    <row r="821" spans="1:5" ht="14.25" customHeight="1" x14ac:dyDescent="0.25">
      <c r="A821" s="7"/>
      <c r="B821" s="35"/>
      <c r="C821" s="36"/>
      <c r="D821" s="36"/>
      <c r="E821" s="36"/>
    </row>
    <row r="822" spans="1:5" ht="14.25" customHeight="1" x14ac:dyDescent="0.25">
      <c r="A822" s="7"/>
      <c r="B822" s="35"/>
      <c r="C822" s="36"/>
      <c r="D822" s="36"/>
      <c r="E822" s="36"/>
    </row>
    <row r="823" spans="1:5" ht="14.25" customHeight="1" x14ac:dyDescent="0.25">
      <c r="A823" s="7"/>
      <c r="B823" s="35"/>
      <c r="C823" s="36"/>
      <c r="D823" s="36"/>
      <c r="E823" s="36"/>
    </row>
    <row r="824" spans="1:5" ht="14.25" customHeight="1" x14ac:dyDescent="0.25">
      <c r="A824" s="7"/>
      <c r="B824" s="35"/>
      <c r="C824" s="36"/>
      <c r="D824" s="36"/>
      <c r="E824" s="36"/>
    </row>
    <row r="825" spans="1:5" ht="14.25" customHeight="1" x14ac:dyDescent="0.25">
      <c r="A825" s="7"/>
      <c r="B825" s="35"/>
      <c r="C825" s="36"/>
      <c r="D825" s="36"/>
      <c r="E825" s="36"/>
    </row>
    <row r="826" spans="1:5" ht="14.25" customHeight="1" x14ac:dyDescent="0.25">
      <c r="A826" s="7"/>
      <c r="B826" s="35"/>
      <c r="C826" s="36"/>
      <c r="D826" s="36"/>
      <c r="E826" s="36"/>
    </row>
    <row r="827" spans="1:5" ht="14.25" customHeight="1" x14ac:dyDescent="0.25">
      <c r="A827" s="7"/>
      <c r="B827" s="35"/>
      <c r="C827" s="36"/>
      <c r="D827" s="36"/>
      <c r="E827" s="36"/>
    </row>
    <row r="828" spans="1:5" ht="14.25" customHeight="1" x14ac:dyDescent="0.25">
      <c r="A828" s="7"/>
      <c r="B828" s="35"/>
      <c r="C828" s="36"/>
      <c r="D828" s="36"/>
      <c r="E828" s="36"/>
    </row>
    <row r="829" spans="1:5" ht="14.25" customHeight="1" x14ac:dyDescent="0.25">
      <c r="A829" s="7"/>
      <c r="B829" s="35"/>
      <c r="C829" s="36"/>
      <c r="D829" s="36"/>
      <c r="E829" s="36"/>
    </row>
    <row r="830" spans="1:5" ht="14.25" customHeight="1" x14ac:dyDescent="0.25">
      <c r="A830" s="7"/>
      <c r="B830" s="35"/>
      <c r="C830" s="36"/>
      <c r="D830" s="36"/>
      <c r="E830" s="36"/>
    </row>
    <row r="831" spans="1:5" ht="14.25" customHeight="1" x14ac:dyDescent="0.25">
      <c r="A831" s="7"/>
      <c r="B831" s="35"/>
      <c r="C831" s="36"/>
      <c r="D831" s="36"/>
      <c r="E831" s="36"/>
    </row>
    <row r="832" spans="1:5" ht="14.25" customHeight="1" x14ac:dyDescent="0.25">
      <c r="A832" s="7"/>
      <c r="B832" s="35"/>
      <c r="C832" s="36"/>
      <c r="D832" s="36"/>
      <c r="E832" s="36"/>
    </row>
    <row r="833" spans="1:5" ht="14.25" customHeight="1" x14ac:dyDescent="0.25">
      <c r="A833" s="7"/>
      <c r="B833" s="35"/>
      <c r="C833" s="36"/>
      <c r="D833" s="36"/>
      <c r="E833" s="36"/>
    </row>
    <row r="834" spans="1:5" ht="14.25" customHeight="1" x14ac:dyDescent="0.25">
      <c r="A834" s="7"/>
      <c r="B834" s="35"/>
      <c r="C834" s="36"/>
      <c r="D834" s="36"/>
      <c r="E834" s="36"/>
    </row>
    <row r="835" spans="1:5" ht="14.25" customHeight="1" x14ac:dyDescent="0.25">
      <c r="A835" s="7"/>
      <c r="B835" s="35"/>
      <c r="C835" s="36"/>
      <c r="D835" s="36"/>
      <c r="E835" s="36"/>
    </row>
    <row r="836" spans="1:5" ht="14.25" customHeight="1" x14ac:dyDescent="0.25">
      <c r="A836" s="7"/>
      <c r="B836" s="35"/>
      <c r="C836" s="36"/>
      <c r="D836" s="36"/>
      <c r="E836" s="36"/>
    </row>
    <row r="837" spans="1:5" ht="14.25" customHeight="1" x14ac:dyDescent="0.25">
      <c r="A837" s="7"/>
      <c r="B837" s="35"/>
      <c r="C837" s="36"/>
      <c r="D837" s="36"/>
      <c r="E837" s="36"/>
    </row>
    <row r="838" spans="1:5" ht="14.25" customHeight="1" x14ac:dyDescent="0.25">
      <c r="A838" s="7"/>
      <c r="B838" s="35"/>
      <c r="C838" s="36"/>
      <c r="D838" s="36"/>
      <c r="E838" s="36"/>
    </row>
    <row r="839" spans="1:5" ht="14.25" customHeight="1" x14ac:dyDescent="0.25">
      <c r="A839" s="7"/>
      <c r="B839" s="35"/>
      <c r="C839" s="36"/>
      <c r="D839" s="36"/>
      <c r="E839" s="36"/>
    </row>
    <row r="840" spans="1:5" ht="14.25" customHeight="1" x14ac:dyDescent="0.25">
      <c r="A840" s="7"/>
      <c r="B840" s="35"/>
      <c r="C840" s="36"/>
      <c r="D840" s="36"/>
      <c r="E840" s="36"/>
    </row>
    <row r="841" spans="1:5" ht="14.25" customHeight="1" x14ac:dyDescent="0.25">
      <c r="A841" s="7"/>
      <c r="B841" s="35"/>
      <c r="C841" s="36"/>
      <c r="D841" s="36"/>
      <c r="E841" s="36"/>
    </row>
    <row r="842" spans="1:5" ht="14.25" customHeight="1" x14ac:dyDescent="0.25">
      <c r="A842" s="7"/>
      <c r="B842" s="35"/>
      <c r="C842" s="36"/>
      <c r="D842" s="36"/>
      <c r="E842" s="36"/>
    </row>
    <row r="843" spans="1:5" ht="14.25" customHeight="1" x14ac:dyDescent="0.25">
      <c r="A843" s="7"/>
      <c r="B843" s="35"/>
      <c r="C843" s="36"/>
      <c r="D843" s="36"/>
      <c r="E843" s="36"/>
    </row>
    <row r="844" spans="1:5" ht="14.25" customHeight="1" x14ac:dyDescent="0.25">
      <c r="A844" s="7"/>
      <c r="B844" s="35"/>
      <c r="C844" s="36"/>
      <c r="D844" s="36"/>
      <c r="E844" s="36"/>
    </row>
    <row r="845" spans="1:5" ht="14.25" customHeight="1" x14ac:dyDescent="0.25">
      <c r="A845" s="7"/>
      <c r="B845" s="35"/>
      <c r="C845" s="36"/>
      <c r="D845" s="36"/>
      <c r="E845" s="36"/>
    </row>
    <row r="846" spans="1:5" ht="14.25" customHeight="1" x14ac:dyDescent="0.25">
      <c r="A846" s="7"/>
      <c r="B846" s="35"/>
      <c r="C846" s="36"/>
      <c r="D846" s="36"/>
      <c r="E846" s="36"/>
    </row>
    <row r="847" spans="1:5" ht="14.25" customHeight="1" x14ac:dyDescent="0.25">
      <c r="A847" s="7"/>
      <c r="B847" s="35"/>
      <c r="C847" s="36"/>
      <c r="D847" s="36"/>
      <c r="E847" s="36"/>
    </row>
    <row r="848" spans="1:5" ht="14.25" customHeight="1" x14ac:dyDescent="0.25">
      <c r="A848" s="7"/>
      <c r="B848" s="35"/>
      <c r="C848" s="36"/>
      <c r="D848" s="36"/>
      <c r="E848" s="36"/>
    </row>
    <row r="849" spans="1:5" ht="14.25" customHeight="1" x14ac:dyDescent="0.25">
      <c r="A849" s="7"/>
      <c r="B849" s="35"/>
      <c r="C849" s="36"/>
      <c r="D849" s="36"/>
      <c r="E849" s="36"/>
    </row>
    <row r="850" spans="1:5" ht="14.25" customHeight="1" x14ac:dyDescent="0.25">
      <c r="A850" s="7"/>
      <c r="B850" s="35"/>
      <c r="C850" s="36"/>
      <c r="D850" s="36"/>
      <c r="E850" s="36"/>
    </row>
    <row r="851" spans="1:5" ht="14.25" customHeight="1" x14ac:dyDescent="0.25">
      <c r="A851" s="7"/>
      <c r="B851" s="35"/>
      <c r="C851" s="36"/>
      <c r="D851" s="36"/>
      <c r="E851" s="36"/>
    </row>
    <row r="852" spans="1:5" ht="14.25" customHeight="1" x14ac:dyDescent="0.25">
      <c r="A852" s="7"/>
      <c r="B852" s="35"/>
      <c r="C852" s="36"/>
      <c r="D852" s="36"/>
      <c r="E852" s="36"/>
    </row>
    <row r="853" spans="1:5" ht="14.25" customHeight="1" x14ac:dyDescent="0.25">
      <c r="A853" s="7"/>
      <c r="B853" s="35"/>
      <c r="C853" s="36"/>
      <c r="D853" s="36"/>
      <c r="E853" s="36"/>
    </row>
    <row r="854" spans="1:5" ht="14.25" customHeight="1" x14ac:dyDescent="0.25">
      <c r="A854" s="7"/>
      <c r="B854" s="35"/>
      <c r="C854" s="36"/>
      <c r="D854" s="36"/>
      <c r="E854" s="36"/>
    </row>
    <row r="855" spans="1:5" ht="14.25" customHeight="1" x14ac:dyDescent="0.25">
      <c r="A855" s="7"/>
      <c r="B855" s="35"/>
      <c r="C855" s="36"/>
      <c r="D855" s="36"/>
      <c r="E855" s="36"/>
    </row>
    <row r="856" spans="1:5" ht="14.25" customHeight="1" x14ac:dyDescent="0.25">
      <c r="A856" s="7"/>
      <c r="B856" s="35"/>
      <c r="C856" s="36"/>
      <c r="D856" s="36"/>
      <c r="E856" s="36"/>
    </row>
    <row r="857" spans="1:5" ht="14.25" customHeight="1" x14ac:dyDescent="0.25">
      <c r="A857" s="7"/>
      <c r="B857" s="35"/>
      <c r="C857" s="36"/>
      <c r="D857" s="36"/>
      <c r="E857" s="36"/>
    </row>
    <row r="858" spans="1:5" ht="14.25" customHeight="1" x14ac:dyDescent="0.25">
      <c r="A858" s="7"/>
      <c r="B858" s="35"/>
      <c r="C858" s="36"/>
      <c r="D858" s="36"/>
      <c r="E858" s="36"/>
    </row>
    <row r="859" spans="1:5" ht="14.25" customHeight="1" x14ac:dyDescent="0.25">
      <c r="A859" s="7"/>
      <c r="B859" s="35"/>
      <c r="C859" s="36"/>
      <c r="D859" s="36"/>
      <c r="E859" s="36"/>
    </row>
    <row r="860" spans="1:5" ht="14.25" customHeight="1" x14ac:dyDescent="0.25">
      <c r="A860" s="7"/>
      <c r="B860" s="35"/>
      <c r="C860" s="36"/>
      <c r="D860" s="36"/>
      <c r="E860" s="36"/>
    </row>
    <row r="861" spans="1:5" ht="14.25" customHeight="1" x14ac:dyDescent="0.25">
      <c r="A861" s="7"/>
      <c r="B861" s="35"/>
      <c r="C861" s="36"/>
      <c r="D861" s="36"/>
      <c r="E861" s="36"/>
    </row>
    <row r="862" spans="1:5" ht="14.25" customHeight="1" x14ac:dyDescent="0.25">
      <c r="A862" s="7"/>
      <c r="B862" s="35"/>
      <c r="C862" s="36"/>
      <c r="D862" s="36"/>
      <c r="E862" s="36"/>
    </row>
    <row r="863" spans="1:5" ht="14.25" customHeight="1" x14ac:dyDescent="0.25">
      <c r="A863" s="7"/>
      <c r="B863" s="35"/>
      <c r="C863" s="36"/>
      <c r="D863" s="36"/>
      <c r="E863" s="36"/>
    </row>
    <row r="864" spans="1:5" ht="14.25" customHeight="1" x14ac:dyDescent="0.25">
      <c r="A864" s="7"/>
      <c r="B864" s="35"/>
      <c r="C864" s="36"/>
      <c r="D864" s="36"/>
      <c r="E864" s="36"/>
    </row>
    <row r="865" spans="1:5" ht="14.25" customHeight="1" x14ac:dyDescent="0.25">
      <c r="A865" s="7"/>
      <c r="B865" s="35"/>
      <c r="C865" s="36"/>
      <c r="D865" s="36"/>
      <c r="E865" s="36"/>
    </row>
    <row r="866" spans="1:5" ht="14.25" customHeight="1" x14ac:dyDescent="0.25">
      <c r="A866" s="7"/>
      <c r="B866" s="35"/>
      <c r="C866" s="36"/>
      <c r="D866" s="36"/>
      <c r="E866" s="36"/>
    </row>
    <row r="867" spans="1:5" ht="14.25" customHeight="1" x14ac:dyDescent="0.25">
      <c r="A867" s="7"/>
      <c r="B867" s="35"/>
      <c r="C867" s="36"/>
      <c r="D867" s="36"/>
      <c r="E867" s="36"/>
    </row>
    <row r="868" spans="1:5" ht="14.25" customHeight="1" x14ac:dyDescent="0.25">
      <c r="A868" s="7"/>
      <c r="B868" s="35"/>
      <c r="C868" s="36"/>
      <c r="D868" s="36"/>
      <c r="E868" s="36"/>
    </row>
    <row r="869" spans="1:5" ht="14.25" customHeight="1" x14ac:dyDescent="0.25">
      <c r="A869" s="7"/>
      <c r="B869" s="35"/>
      <c r="C869" s="36"/>
      <c r="D869" s="36"/>
      <c r="E869" s="36"/>
    </row>
    <row r="870" spans="1:5" ht="14.25" customHeight="1" x14ac:dyDescent="0.25">
      <c r="A870" s="7"/>
      <c r="B870" s="35"/>
      <c r="C870" s="36"/>
      <c r="D870" s="36"/>
      <c r="E870" s="36"/>
    </row>
    <row r="871" spans="1:5" ht="14.25" customHeight="1" x14ac:dyDescent="0.25">
      <c r="A871" s="7"/>
      <c r="B871" s="35"/>
      <c r="C871" s="36"/>
      <c r="D871" s="36"/>
      <c r="E871" s="36"/>
    </row>
    <row r="872" spans="1:5" ht="14.25" customHeight="1" x14ac:dyDescent="0.25">
      <c r="A872" s="7"/>
      <c r="B872" s="35"/>
      <c r="C872" s="36"/>
      <c r="D872" s="36"/>
      <c r="E872" s="36"/>
    </row>
    <row r="873" spans="1:5" ht="14.25" customHeight="1" x14ac:dyDescent="0.25">
      <c r="A873" s="7"/>
      <c r="B873" s="35"/>
      <c r="C873" s="36"/>
      <c r="D873" s="36"/>
      <c r="E873" s="36"/>
    </row>
    <row r="874" spans="1:5" ht="14.25" customHeight="1" x14ac:dyDescent="0.25">
      <c r="A874" s="7"/>
      <c r="B874" s="35"/>
      <c r="C874" s="36"/>
      <c r="D874" s="36"/>
      <c r="E874" s="36"/>
    </row>
    <row r="875" spans="1:5" ht="14.25" customHeight="1" x14ac:dyDescent="0.25">
      <c r="A875" s="7"/>
      <c r="B875" s="35"/>
      <c r="C875" s="36"/>
      <c r="D875" s="36"/>
      <c r="E875" s="36"/>
    </row>
    <row r="876" spans="1:5" ht="14.25" customHeight="1" x14ac:dyDescent="0.25">
      <c r="A876" s="7"/>
      <c r="B876" s="35"/>
      <c r="C876" s="36"/>
      <c r="D876" s="36"/>
      <c r="E876" s="36"/>
    </row>
    <row r="877" spans="1:5" ht="14.25" customHeight="1" x14ac:dyDescent="0.25">
      <c r="A877" s="7"/>
      <c r="B877" s="35"/>
      <c r="C877" s="36"/>
      <c r="D877" s="36"/>
      <c r="E877" s="36"/>
    </row>
    <row r="878" spans="1:5" ht="14.25" customHeight="1" x14ac:dyDescent="0.25">
      <c r="A878" s="7"/>
      <c r="B878" s="35"/>
      <c r="C878" s="36"/>
      <c r="D878" s="36"/>
      <c r="E878" s="36"/>
    </row>
    <row r="879" spans="1:5" ht="14.25" customHeight="1" x14ac:dyDescent="0.25">
      <c r="A879" s="7"/>
      <c r="B879" s="35"/>
      <c r="C879" s="36"/>
      <c r="D879" s="36"/>
      <c r="E879" s="36"/>
    </row>
    <row r="880" spans="1:5" ht="14.25" customHeight="1" x14ac:dyDescent="0.25">
      <c r="A880" s="7"/>
      <c r="B880" s="35"/>
      <c r="C880" s="36"/>
      <c r="D880" s="36"/>
      <c r="E880" s="36"/>
    </row>
    <row r="881" spans="1:5" ht="14.25" customHeight="1" x14ac:dyDescent="0.25">
      <c r="A881" s="7"/>
      <c r="B881" s="35"/>
      <c r="C881" s="36"/>
      <c r="D881" s="36"/>
      <c r="E881" s="36"/>
    </row>
    <row r="882" spans="1:5" ht="14.25" customHeight="1" x14ac:dyDescent="0.25">
      <c r="A882" s="7"/>
      <c r="B882" s="35"/>
      <c r="C882" s="36"/>
      <c r="D882" s="36"/>
      <c r="E882" s="36"/>
    </row>
    <row r="883" spans="1:5" ht="14.25" customHeight="1" x14ac:dyDescent="0.25">
      <c r="A883" s="7"/>
      <c r="B883" s="35"/>
      <c r="C883" s="36"/>
      <c r="D883" s="36"/>
      <c r="E883" s="36"/>
    </row>
    <row r="884" spans="1:5" ht="14.25" customHeight="1" x14ac:dyDescent="0.25">
      <c r="A884" s="7"/>
      <c r="B884" s="35"/>
      <c r="C884" s="36"/>
      <c r="D884" s="36"/>
      <c r="E884" s="36"/>
    </row>
    <row r="885" spans="1:5" ht="14.25" customHeight="1" x14ac:dyDescent="0.25">
      <c r="A885" s="7"/>
      <c r="B885" s="35"/>
      <c r="C885" s="36"/>
      <c r="D885" s="36"/>
      <c r="E885" s="36"/>
    </row>
    <row r="886" spans="1:5" ht="14.25" customHeight="1" x14ac:dyDescent="0.25">
      <c r="A886" s="7"/>
      <c r="B886" s="35"/>
      <c r="C886" s="36"/>
      <c r="D886" s="36"/>
      <c r="E886" s="36"/>
    </row>
    <row r="887" spans="1:5" ht="14.25" customHeight="1" x14ac:dyDescent="0.25">
      <c r="A887" s="7"/>
      <c r="B887" s="35"/>
      <c r="C887" s="36"/>
      <c r="D887" s="36"/>
      <c r="E887" s="36"/>
    </row>
    <row r="888" spans="1:5" ht="14.25" customHeight="1" x14ac:dyDescent="0.25">
      <c r="A888" s="7"/>
      <c r="B888" s="35"/>
      <c r="C888" s="36"/>
      <c r="D888" s="36"/>
      <c r="E888" s="36"/>
    </row>
    <row r="889" spans="1:5" ht="14.25" customHeight="1" x14ac:dyDescent="0.25">
      <c r="A889" s="7"/>
      <c r="B889" s="35"/>
      <c r="C889" s="36"/>
      <c r="D889" s="36"/>
      <c r="E889" s="36"/>
    </row>
    <row r="890" spans="1:5" ht="14.25" customHeight="1" x14ac:dyDescent="0.25">
      <c r="A890" s="7"/>
      <c r="B890" s="35"/>
      <c r="C890" s="36"/>
      <c r="D890" s="36"/>
      <c r="E890" s="36"/>
    </row>
    <row r="891" spans="1:5" ht="14.25" customHeight="1" x14ac:dyDescent="0.25">
      <c r="A891" s="7"/>
      <c r="B891" s="35"/>
      <c r="C891" s="36"/>
      <c r="D891" s="36"/>
      <c r="E891" s="36"/>
    </row>
    <row r="892" spans="1:5" ht="14.25" customHeight="1" x14ac:dyDescent="0.25">
      <c r="A892" s="7"/>
      <c r="B892" s="35"/>
      <c r="C892" s="36"/>
      <c r="D892" s="36"/>
      <c r="E892" s="36"/>
    </row>
    <row r="893" spans="1:5" ht="14.25" customHeight="1" x14ac:dyDescent="0.25">
      <c r="A893" s="7"/>
      <c r="B893" s="35"/>
      <c r="C893" s="36"/>
      <c r="D893" s="36"/>
      <c r="E893" s="36"/>
    </row>
    <row r="894" spans="1:5" ht="14.25" customHeight="1" x14ac:dyDescent="0.25">
      <c r="A894" s="7"/>
      <c r="B894" s="35"/>
      <c r="C894" s="36"/>
      <c r="D894" s="36"/>
      <c r="E894" s="36"/>
    </row>
    <row r="895" spans="1:5" ht="14.25" customHeight="1" x14ac:dyDescent="0.25">
      <c r="A895" s="7"/>
      <c r="B895" s="35"/>
      <c r="C895" s="36"/>
      <c r="D895" s="36"/>
      <c r="E895" s="36"/>
    </row>
    <row r="896" spans="1:5" ht="14.25" customHeight="1" x14ac:dyDescent="0.25">
      <c r="A896" s="7"/>
      <c r="B896" s="35"/>
      <c r="C896" s="36"/>
      <c r="D896" s="36"/>
      <c r="E896" s="36"/>
    </row>
    <row r="897" spans="1:5" ht="14.25" customHeight="1" x14ac:dyDescent="0.25">
      <c r="A897" s="7"/>
      <c r="B897" s="35"/>
      <c r="C897" s="36"/>
      <c r="D897" s="36"/>
      <c r="E897" s="36"/>
    </row>
    <row r="898" spans="1:5" ht="14.25" customHeight="1" x14ac:dyDescent="0.25">
      <c r="A898" s="7"/>
      <c r="B898" s="35"/>
      <c r="C898" s="36"/>
      <c r="D898" s="36"/>
      <c r="E898" s="36"/>
    </row>
    <row r="899" spans="1:5" ht="14.25" customHeight="1" x14ac:dyDescent="0.25">
      <c r="A899" s="7"/>
      <c r="B899" s="35"/>
      <c r="C899" s="36"/>
      <c r="D899" s="36"/>
      <c r="E899" s="36"/>
    </row>
    <row r="900" spans="1:5" ht="14.25" customHeight="1" x14ac:dyDescent="0.25">
      <c r="A900" s="7"/>
      <c r="B900" s="35"/>
      <c r="C900" s="36"/>
      <c r="D900" s="36"/>
      <c r="E900" s="36"/>
    </row>
    <row r="901" spans="1:5" ht="14.25" customHeight="1" x14ac:dyDescent="0.25">
      <c r="A901" s="7"/>
      <c r="B901" s="35"/>
      <c r="C901" s="36"/>
      <c r="D901" s="36"/>
      <c r="E901" s="36"/>
    </row>
    <row r="902" spans="1:5" ht="14.25" customHeight="1" x14ac:dyDescent="0.25">
      <c r="A902" s="7"/>
      <c r="B902" s="35"/>
      <c r="C902" s="36"/>
      <c r="D902" s="36"/>
      <c r="E902" s="36"/>
    </row>
    <row r="903" spans="1:5" ht="14.25" customHeight="1" x14ac:dyDescent="0.25">
      <c r="A903" s="7"/>
      <c r="B903" s="35"/>
      <c r="C903" s="36"/>
      <c r="D903" s="36"/>
      <c r="E903" s="36"/>
    </row>
    <row r="904" spans="1:5" ht="14.25" customHeight="1" x14ac:dyDescent="0.25">
      <c r="A904" s="7"/>
      <c r="B904" s="35"/>
      <c r="C904" s="36"/>
      <c r="D904" s="36"/>
      <c r="E904" s="36"/>
    </row>
    <row r="905" spans="1:5" ht="14.25" customHeight="1" x14ac:dyDescent="0.25">
      <c r="A905" s="7"/>
      <c r="B905" s="35"/>
      <c r="C905" s="36"/>
      <c r="D905" s="36"/>
      <c r="E905" s="36"/>
    </row>
    <row r="906" spans="1:5" ht="14.25" customHeight="1" x14ac:dyDescent="0.25">
      <c r="A906" s="7"/>
      <c r="B906" s="35"/>
      <c r="C906" s="36"/>
      <c r="D906" s="36"/>
      <c r="E906" s="36"/>
    </row>
    <row r="907" spans="1:5" ht="14.25" customHeight="1" x14ac:dyDescent="0.25">
      <c r="A907" s="7"/>
      <c r="B907" s="35"/>
      <c r="C907" s="36"/>
      <c r="D907" s="36"/>
      <c r="E907" s="36"/>
    </row>
    <row r="908" spans="1:5" ht="14.25" customHeight="1" x14ac:dyDescent="0.25">
      <c r="A908" s="7"/>
      <c r="B908" s="35"/>
      <c r="C908" s="36"/>
      <c r="D908" s="36"/>
      <c r="E908" s="36"/>
    </row>
    <row r="909" spans="1:5" ht="14.25" customHeight="1" x14ac:dyDescent="0.25">
      <c r="A909" s="7"/>
      <c r="B909" s="35"/>
      <c r="C909" s="36"/>
      <c r="D909" s="36"/>
      <c r="E909" s="36"/>
    </row>
    <row r="910" spans="1:5" ht="14.25" customHeight="1" x14ac:dyDescent="0.25">
      <c r="A910" s="7"/>
      <c r="B910" s="35"/>
      <c r="C910" s="36"/>
      <c r="D910" s="36"/>
      <c r="E910" s="36"/>
    </row>
    <row r="911" spans="1:5" ht="14.25" customHeight="1" x14ac:dyDescent="0.25">
      <c r="A911" s="7"/>
      <c r="B911" s="35"/>
      <c r="C911" s="36"/>
      <c r="D911" s="36"/>
      <c r="E911" s="36"/>
    </row>
    <row r="912" spans="1:5" ht="14.25" customHeight="1" x14ac:dyDescent="0.25">
      <c r="A912" s="7"/>
      <c r="B912" s="35"/>
      <c r="C912" s="36"/>
      <c r="D912" s="36"/>
      <c r="E912" s="36"/>
    </row>
    <row r="913" spans="1:5" ht="14.25" customHeight="1" x14ac:dyDescent="0.25">
      <c r="A913" s="7"/>
      <c r="B913" s="35"/>
      <c r="C913" s="36"/>
      <c r="D913" s="36"/>
      <c r="E913" s="36"/>
    </row>
    <row r="914" spans="1:5" ht="14.25" customHeight="1" x14ac:dyDescent="0.25">
      <c r="A914" s="7"/>
      <c r="B914" s="35"/>
      <c r="C914" s="36"/>
      <c r="D914" s="36"/>
      <c r="E914" s="36"/>
    </row>
    <row r="915" spans="1:5" ht="14.25" customHeight="1" x14ac:dyDescent="0.25">
      <c r="A915" s="7"/>
      <c r="B915" s="35"/>
      <c r="C915" s="36"/>
      <c r="D915" s="36"/>
      <c r="E915" s="36"/>
    </row>
    <row r="916" spans="1:5" ht="14.25" customHeight="1" x14ac:dyDescent="0.25">
      <c r="A916" s="7"/>
      <c r="B916" s="35"/>
      <c r="C916" s="36"/>
      <c r="D916" s="36"/>
      <c r="E916" s="36"/>
    </row>
    <row r="917" spans="1:5" ht="14.25" customHeight="1" x14ac:dyDescent="0.25">
      <c r="A917" s="7"/>
      <c r="B917" s="35"/>
      <c r="C917" s="36"/>
      <c r="D917" s="36"/>
      <c r="E917" s="36"/>
    </row>
    <row r="918" spans="1:5" ht="14.25" customHeight="1" x14ac:dyDescent="0.25">
      <c r="A918" s="7"/>
      <c r="B918" s="35"/>
      <c r="C918" s="36"/>
      <c r="D918" s="36"/>
      <c r="E918" s="36"/>
    </row>
    <row r="919" spans="1:5" ht="14.25" customHeight="1" x14ac:dyDescent="0.25">
      <c r="A919" s="7"/>
      <c r="B919" s="35"/>
      <c r="C919" s="36"/>
      <c r="D919" s="36"/>
      <c r="E919" s="36"/>
    </row>
    <row r="920" spans="1:5" ht="14.25" customHeight="1" x14ac:dyDescent="0.25">
      <c r="A920" s="7"/>
      <c r="B920" s="35"/>
      <c r="C920" s="36"/>
      <c r="D920" s="36"/>
      <c r="E920" s="36"/>
    </row>
    <row r="921" spans="1:5" ht="14.25" customHeight="1" x14ac:dyDescent="0.25">
      <c r="A921" s="7"/>
      <c r="B921" s="35"/>
      <c r="C921" s="36"/>
      <c r="D921" s="36"/>
      <c r="E921" s="36"/>
    </row>
    <row r="922" spans="1:5" ht="14.25" customHeight="1" x14ac:dyDescent="0.25">
      <c r="A922" s="7"/>
      <c r="B922" s="35"/>
      <c r="C922" s="36"/>
      <c r="D922" s="36"/>
      <c r="E922" s="36"/>
    </row>
    <row r="923" spans="1:5" ht="14.25" customHeight="1" x14ac:dyDescent="0.25">
      <c r="A923" s="7"/>
      <c r="B923" s="35"/>
      <c r="C923" s="36"/>
      <c r="D923" s="36"/>
      <c r="E923" s="36"/>
    </row>
    <row r="924" spans="1:5" ht="14.25" customHeight="1" x14ac:dyDescent="0.25">
      <c r="A924" s="7"/>
      <c r="B924" s="35"/>
      <c r="C924" s="36"/>
      <c r="D924" s="36"/>
      <c r="E924" s="36"/>
    </row>
    <row r="925" spans="1:5" ht="14.25" customHeight="1" x14ac:dyDescent="0.25">
      <c r="A925" s="7"/>
      <c r="B925" s="35"/>
      <c r="C925" s="36"/>
      <c r="D925" s="36"/>
      <c r="E925" s="36"/>
    </row>
    <row r="926" spans="1:5" ht="14.25" customHeight="1" x14ac:dyDescent="0.25">
      <c r="A926" s="7"/>
      <c r="B926" s="35"/>
      <c r="C926" s="36"/>
      <c r="D926" s="36"/>
      <c r="E926" s="36"/>
    </row>
    <row r="927" spans="1:5" ht="14.25" customHeight="1" x14ac:dyDescent="0.25">
      <c r="A927" s="7"/>
      <c r="B927" s="35"/>
      <c r="C927" s="36"/>
      <c r="D927" s="36"/>
      <c r="E927" s="36"/>
    </row>
    <row r="928" spans="1:5" ht="14.25" customHeight="1" x14ac:dyDescent="0.25">
      <c r="A928" s="7"/>
      <c r="B928" s="35"/>
      <c r="C928" s="36"/>
      <c r="D928" s="36"/>
      <c r="E928" s="36"/>
    </row>
    <row r="929" spans="1:5" ht="14.25" customHeight="1" x14ac:dyDescent="0.25">
      <c r="A929" s="7"/>
      <c r="B929" s="35"/>
      <c r="C929" s="36"/>
      <c r="D929" s="36"/>
      <c r="E929" s="36"/>
    </row>
    <row r="930" spans="1:5" ht="14.25" customHeight="1" x14ac:dyDescent="0.25">
      <c r="A930" s="7"/>
      <c r="B930" s="35"/>
      <c r="C930" s="36"/>
      <c r="D930" s="36"/>
      <c r="E930" s="36"/>
    </row>
    <row r="931" spans="1:5" ht="14.25" customHeight="1" x14ac:dyDescent="0.25">
      <c r="A931" s="7"/>
      <c r="B931" s="35"/>
      <c r="C931" s="36"/>
      <c r="D931" s="36"/>
      <c r="E931" s="36"/>
    </row>
    <row r="932" spans="1:5" ht="14.25" customHeight="1" x14ac:dyDescent="0.25">
      <c r="A932" s="7"/>
      <c r="B932" s="35"/>
      <c r="C932" s="36"/>
      <c r="D932" s="36"/>
      <c r="E932" s="36"/>
    </row>
    <row r="933" spans="1:5" ht="14.25" customHeight="1" x14ac:dyDescent="0.25">
      <c r="A933" s="7"/>
      <c r="B933" s="35"/>
      <c r="C933" s="36"/>
      <c r="D933" s="36"/>
      <c r="E933" s="36"/>
    </row>
    <row r="934" spans="1:5" ht="14.25" customHeight="1" x14ac:dyDescent="0.25">
      <c r="A934" s="7"/>
      <c r="B934" s="35"/>
      <c r="C934" s="36"/>
      <c r="D934" s="36"/>
      <c r="E934" s="36"/>
    </row>
    <row r="935" spans="1:5" ht="14.25" customHeight="1" x14ac:dyDescent="0.25">
      <c r="A935" s="7"/>
      <c r="B935" s="35"/>
      <c r="C935" s="36"/>
      <c r="D935" s="36"/>
      <c r="E935" s="36"/>
    </row>
    <row r="936" spans="1:5" ht="14.25" customHeight="1" x14ac:dyDescent="0.25">
      <c r="A936" s="7"/>
      <c r="B936" s="35"/>
      <c r="C936" s="36"/>
      <c r="D936" s="36"/>
      <c r="E936" s="36"/>
    </row>
    <row r="937" spans="1:5" ht="14.25" customHeight="1" x14ac:dyDescent="0.25">
      <c r="A937" s="7"/>
      <c r="B937" s="35"/>
      <c r="C937" s="36"/>
      <c r="D937" s="36"/>
      <c r="E937" s="36"/>
    </row>
    <row r="938" spans="1:5" ht="14.25" customHeight="1" x14ac:dyDescent="0.25">
      <c r="A938" s="7"/>
      <c r="B938" s="35"/>
      <c r="C938" s="36"/>
      <c r="D938" s="36"/>
      <c r="E938" s="36"/>
    </row>
    <row r="939" spans="1:5" ht="14.25" customHeight="1" x14ac:dyDescent="0.25">
      <c r="A939" s="7"/>
      <c r="B939" s="35"/>
      <c r="C939" s="36"/>
      <c r="D939" s="36"/>
      <c r="E939" s="36"/>
    </row>
    <row r="940" spans="1:5" ht="14.25" customHeight="1" x14ac:dyDescent="0.25">
      <c r="A940" s="7"/>
      <c r="B940" s="35"/>
      <c r="C940" s="36"/>
      <c r="D940" s="36"/>
      <c r="E940" s="36"/>
    </row>
    <row r="941" spans="1:5" ht="14.25" customHeight="1" x14ac:dyDescent="0.25">
      <c r="A941" s="7"/>
      <c r="B941" s="35"/>
      <c r="C941" s="36"/>
      <c r="D941" s="36"/>
      <c r="E941" s="36"/>
    </row>
    <row r="942" spans="1:5" ht="14.25" customHeight="1" x14ac:dyDescent="0.25">
      <c r="A942" s="7"/>
      <c r="B942" s="35"/>
      <c r="C942" s="36"/>
      <c r="D942" s="36"/>
      <c r="E942" s="36"/>
    </row>
    <row r="943" spans="1:5" ht="14.25" customHeight="1" x14ac:dyDescent="0.25">
      <c r="A943" s="7"/>
      <c r="B943" s="35"/>
      <c r="C943" s="36"/>
      <c r="D943" s="36"/>
      <c r="E943" s="36"/>
    </row>
    <row r="944" spans="1:5" ht="14.25" customHeight="1" x14ac:dyDescent="0.25">
      <c r="A944" s="7"/>
      <c r="B944" s="35"/>
      <c r="C944" s="36"/>
      <c r="D944" s="36"/>
      <c r="E944" s="36"/>
    </row>
    <row r="945" spans="1:5" ht="14.25" customHeight="1" x14ac:dyDescent="0.25">
      <c r="A945" s="7"/>
      <c r="B945" s="35"/>
      <c r="C945" s="36"/>
      <c r="D945" s="36"/>
      <c r="E945" s="36"/>
    </row>
    <row r="946" spans="1:5" ht="14.25" customHeight="1" x14ac:dyDescent="0.25">
      <c r="A946" s="7"/>
      <c r="B946" s="35"/>
      <c r="C946" s="36"/>
      <c r="D946" s="36"/>
      <c r="E946" s="36"/>
    </row>
    <row r="947" spans="1:5" ht="14.25" customHeight="1" x14ac:dyDescent="0.25">
      <c r="A947" s="7"/>
      <c r="B947" s="35"/>
      <c r="C947" s="36"/>
      <c r="D947" s="36"/>
      <c r="E947" s="36"/>
    </row>
    <row r="948" spans="1:5" ht="14.25" customHeight="1" x14ac:dyDescent="0.25">
      <c r="A948" s="7"/>
      <c r="B948" s="35"/>
      <c r="C948" s="36"/>
      <c r="D948" s="36"/>
      <c r="E948" s="36"/>
    </row>
    <row r="949" spans="1:5" ht="14.25" customHeight="1" x14ac:dyDescent="0.25">
      <c r="A949" s="7"/>
      <c r="B949" s="35"/>
      <c r="C949" s="36"/>
      <c r="D949" s="36"/>
      <c r="E949" s="36"/>
    </row>
    <row r="950" spans="1:5" ht="14.25" customHeight="1" x14ac:dyDescent="0.25">
      <c r="A950" s="7"/>
      <c r="B950" s="35"/>
      <c r="C950" s="36"/>
      <c r="D950" s="36"/>
      <c r="E950" s="36"/>
    </row>
    <row r="951" spans="1:5" ht="14.25" customHeight="1" x14ac:dyDescent="0.25">
      <c r="A951" s="7"/>
      <c r="B951" s="35"/>
      <c r="C951" s="36"/>
      <c r="D951" s="36"/>
      <c r="E951" s="36"/>
    </row>
    <row r="952" spans="1:5" ht="14.25" customHeight="1" x14ac:dyDescent="0.25">
      <c r="A952" s="7"/>
      <c r="B952" s="35"/>
      <c r="C952" s="36"/>
      <c r="D952" s="36"/>
      <c r="E952" s="36"/>
    </row>
    <row r="953" spans="1:5" ht="14.25" customHeight="1" x14ac:dyDescent="0.25">
      <c r="A953" s="7"/>
      <c r="B953" s="35"/>
      <c r="C953" s="36"/>
      <c r="D953" s="36"/>
      <c r="E953" s="36"/>
    </row>
    <row r="954" spans="1:5" ht="14.25" customHeight="1" x14ac:dyDescent="0.25">
      <c r="A954" s="7"/>
      <c r="B954" s="35"/>
      <c r="C954" s="36"/>
      <c r="D954" s="36"/>
      <c r="E954" s="36"/>
    </row>
    <row r="955" spans="1:5" ht="14.25" customHeight="1" x14ac:dyDescent="0.25">
      <c r="A955" s="7"/>
      <c r="B955" s="35"/>
      <c r="C955" s="36"/>
      <c r="D955" s="36"/>
      <c r="E955" s="36"/>
    </row>
    <row r="956" spans="1:5" ht="14.25" customHeight="1" x14ac:dyDescent="0.25">
      <c r="A956" s="7"/>
      <c r="B956" s="35"/>
      <c r="C956" s="36"/>
      <c r="D956" s="36"/>
      <c r="E956" s="36"/>
    </row>
    <row r="957" spans="1:5" ht="14.25" customHeight="1" x14ac:dyDescent="0.25">
      <c r="A957" s="7"/>
      <c r="B957" s="35"/>
      <c r="C957" s="36"/>
      <c r="D957" s="36"/>
      <c r="E957" s="36"/>
    </row>
    <row r="958" spans="1:5" ht="14.25" customHeight="1" x14ac:dyDescent="0.25">
      <c r="A958" s="7"/>
      <c r="B958" s="35"/>
      <c r="C958" s="36"/>
      <c r="D958" s="36"/>
      <c r="E958" s="36"/>
    </row>
    <row r="959" spans="1:5" ht="14.25" customHeight="1" x14ac:dyDescent="0.25">
      <c r="A959" s="7"/>
      <c r="B959" s="35"/>
      <c r="C959" s="36"/>
      <c r="D959" s="36"/>
      <c r="E959" s="36"/>
    </row>
    <row r="960" spans="1:5" ht="14.25" customHeight="1" x14ac:dyDescent="0.25">
      <c r="A960" s="7"/>
      <c r="B960" s="35"/>
      <c r="C960" s="36"/>
      <c r="D960" s="36"/>
      <c r="E960" s="36"/>
    </row>
    <row r="961" spans="1:5" ht="14.25" customHeight="1" x14ac:dyDescent="0.25">
      <c r="A961" s="7"/>
      <c r="B961" s="35"/>
      <c r="C961" s="36"/>
      <c r="D961" s="36"/>
      <c r="E961" s="36"/>
    </row>
    <row r="962" spans="1:5" ht="14.25" customHeight="1" x14ac:dyDescent="0.25">
      <c r="A962" s="7"/>
      <c r="B962" s="35"/>
      <c r="C962" s="36"/>
      <c r="D962" s="36"/>
      <c r="E962" s="36"/>
    </row>
    <row r="963" spans="1:5" ht="14.25" customHeight="1" x14ac:dyDescent="0.25">
      <c r="A963" s="7"/>
      <c r="B963" s="35"/>
      <c r="C963" s="36"/>
      <c r="D963" s="36"/>
      <c r="E963" s="36"/>
    </row>
    <row r="964" spans="1:5" ht="14.25" customHeight="1" x14ac:dyDescent="0.25">
      <c r="A964" s="7"/>
      <c r="B964" s="35"/>
      <c r="C964" s="36"/>
      <c r="D964" s="36"/>
      <c r="E964" s="36"/>
    </row>
    <row r="965" spans="1:5" ht="14.25" customHeight="1" x14ac:dyDescent="0.25">
      <c r="A965" s="7"/>
      <c r="B965" s="35"/>
      <c r="C965" s="36"/>
      <c r="D965" s="36"/>
      <c r="E965" s="36"/>
    </row>
    <row r="966" spans="1:5" ht="14.25" customHeight="1" x14ac:dyDescent="0.25">
      <c r="A966" s="7"/>
      <c r="B966" s="35"/>
      <c r="C966" s="36"/>
      <c r="D966" s="36"/>
      <c r="E966" s="36"/>
    </row>
    <row r="967" spans="1:5" ht="14.25" customHeight="1" x14ac:dyDescent="0.25">
      <c r="A967" s="7"/>
      <c r="B967" s="35"/>
      <c r="C967" s="36"/>
      <c r="D967" s="36"/>
      <c r="E967" s="36"/>
    </row>
    <row r="968" spans="1:5" ht="14.25" customHeight="1" x14ac:dyDescent="0.25">
      <c r="A968" s="7"/>
      <c r="B968" s="35"/>
      <c r="C968" s="36"/>
      <c r="D968" s="36"/>
      <c r="E968" s="36"/>
    </row>
    <row r="969" spans="1:5" ht="14.25" customHeight="1" x14ac:dyDescent="0.25">
      <c r="A969" s="7"/>
      <c r="B969" s="35"/>
      <c r="C969" s="36"/>
      <c r="D969" s="36"/>
      <c r="E969" s="36"/>
    </row>
    <row r="970" spans="1:5" ht="14.25" customHeight="1" x14ac:dyDescent="0.25">
      <c r="A970" s="7"/>
      <c r="B970" s="35"/>
      <c r="C970" s="36"/>
      <c r="D970" s="36"/>
      <c r="E970" s="36"/>
    </row>
    <row r="971" spans="1:5" ht="14.25" customHeight="1" x14ac:dyDescent="0.25">
      <c r="A971" s="7"/>
      <c r="B971" s="35"/>
      <c r="C971" s="36"/>
      <c r="D971" s="36"/>
      <c r="E971" s="36"/>
    </row>
    <row r="972" spans="1:5" ht="14.25" customHeight="1" x14ac:dyDescent="0.25">
      <c r="A972" s="7"/>
      <c r="B972" s="35"/>
      <c r="C972" s="36"/>
      <c r="D972" s="36"/>
      <c r="E972" s="36"/>
    </row>
    <row r="973" spans="1:5" ht="14.25" customHeight="1" x14ac:dyDescent="0.25">
      <c r="A973" s="7"/>
      <c r="B973" s="35"/>
      <c r="C973" s="36"/>
      <c r="D973" s="36"/>
      <c r="E973" s="36"/>
    </row>
    <row r="974" spans="1:5" ht="14.25" customHeight="1" x14ac:dyDescent="0.25">
      <c r="A974" s="7"/>
      <c r="B974" s="35"/>
      <c r="C974" s="36"/>
      <c r="D974" s="36"/>
      <c r="E974" s="36"/>
    </row>
    <row r="975" spans="1:5" ht="14.25" customHeight="1" x14ac:dyDescent="0.25">
      <c r="A975" s="7"/>
      <c r="B975" s="35"/>
      <c r="C975" s="36"/>
      <c r="D975" s="36"/>
      <c r="E975" s="36"/>
    </row>
    <row r="976" spans="1:5" ht="14.25" customHeight="1" x14ac:dyDescent="0.25">
      <c r="A976" s="7"/>
      <c r="B976" s="35"/>
      <c r="C976" s="36"/>
      <c r="D976" s="36"/>
      <c r="E976" s="36"/>
    </row>
    <row r="977" spans="1:5" ht="14.25" customHeight="1" x14ac:dyDescent="0.25">
      <c r="A977" s="7"/>
      <c r="B977" s="35"/>
      <c r="C977" s="36"/>
      <c r="D977" s="36"/>
      <c r="E977" s="36"/>
    </row>
    <row r="978" spans="1:5" ht="14.25" customHeight="1" x14ac:dyDescent="0.25">
      <c r="A978" s="7"/>
      <c r="B978" s="35"/>
      <c r="C978" s="36"/>
      <c r="D978" s="36"/>
      <c r="E978" s="36"/>
    </row>
    <row r="979" spans="1:5" ht="14.25" customHeight="1" x14ac:dyDescent="0.25">
      <c r="A979" s="7"/>
      <c r="B979" s="35"/>
      <c r="C979" s="36"/>
      <c r="D979" s="36"/>
      <c r="E979" s="36"/>
    </row>
    <row r="980" spans="1:5" ht="14.25" customHeight="1" x14ac:dyDescent="0.25">
      <c r="A980" s="7"/>
      <c r="B980" s="35"/>
      <c r="C980" s="36"/>
      <c r="D980" s="36"/>
      <c r="E980" s="36"/>
    </row>
    <row r="981" spans="1:5" ht="14.25" customHeight="1" x14ac:dyDescent="0.25">
      <c r="A981" s="7"/>
      <c r="B981" s="35"/>
      <c r="C981" s="36"/>
      <c r="D981" s="36"/>
      <c r="E981" s="36"/>
    </row>
    <row r="982" spans="1:5" ht="14.25" customHeight="1" x14ac:dyDescent="0.25">
      <c r="A982" s="7"/>
      <c r="B982" s="35"/>
      <c r="C982" s="36"/>
      <c r="D982" s="36"/>
      <c r="E982" s="36"/>
    </row>
    <row r="983" spans="1:5" ht="14.25" customHeight="1" x14ac:dyDescent="0.25">
      <c r="A983" s="7"/>
      <c r="B983" s="35"/>
      <c r="C983" s="36"/>
      <c r="D983" s="36"/>
      <c r="E983" s="36"/>
    </row>
    <row r="984" spans="1:5" ht="14.25" customHeight="1" x14ac:dyDescent="0.25">
      <c r="A984" s="7"/>
      <c r="B984" s="35"/>
      <c r="C984" s="36"/>
      <c r="D984" s="36"/>
      <c r="E984" s="36"/>
    </row>
    <row r="985" spans="1:5" ht="14.25" customHeight="1" x14ac:dyDescent="0.25">
      <c r="A985" s="7"/>
      <c r="B985" s="35"/>
      <c r="C985" s="36"/>
      <c r="D985" s="36"/>
      <c r="E985" s="36"/>
    </row>
    <row r="986" spans="1:5" ht="14.25" customHeight="1" x14ac:dyDescent="0.25">
      <c r="A986" s="7"/>
      <c r="B986" s="35"/>
      <c r="C986" s="36"/>
      <c r="D986" s="36"/>
      <c r="E986" s="36"/>
    </row>
    <row r="987" spans="1:5" ht="14.25" customHeight="1" x14ac:dyDescent="0.25">
      <c r="A987" s="7"/>
      <c r="B987" s="35"/>
      <c r="C987" s="36"/>
      <c r="D987" s="36"/>
      <c r="E987" s="36"/>
    </row>
    <row r="988" spans="1:5" ht="14.25" customHeight="1" x14ac:dyDescent="0.25">
      <c r="A988" s="7"/>
      <c r="B988" s="35"/>
      <c r="C988" s="36"/>
      <c r="D988" s="36"/>
      <c r="E988" s="36"/>
    </row>
    <row r="989" spans="1:5" ht="14.25" customHeight="1" x14ac:dyDescent="0.25">
      <c r="A989" s="7"/>
      <c r="B989" s="35"/>
      <c r="C989" s="36"/>
      <c r="D989" s="36"/>
      <c r="E989" s="36"/>
    </row>
    <row r="990" spans="1:5" ht="14.25" customHeight="1" x14ac:dyDescent="0.25">
      <c r="A990" s="7"/>
      <c r="B990" s="35"/>
      <c r="C990" s="36"/>
      <c r="D990" s="36"/>
      <c r="E990" s="36"/>
    </row>
    <row r="991" spans="1:5" ht="14.25" customHeight="1" x14ac:dyDescent="0.25">
      <c r="A991" s="7"/>
      <c r="B991" s="35"/>
      <c r="C991" s="36"/>
      <c r="D991" s="36"/>
      <c r="E991" s="36"/>
    </row>
    <row r="992" spans="1:5" ht="14.25" customHeight="1" x14ac:dyDescent="0.25">
      <c r="A992" s="7"/>
      <c r="B992" s="35"/>
      <c r="C992" s="36"/>
      <c r="D992" s="36"/>
      <c r="E992" s="36"/>
    </row>
    <row r="993" spans="1:5" ht="14.25" customHeight="1" x14ac:dyDescent="0.25">
      <c r="A993" s="7"/>
      <c r="B993" s="35"/>
      <c r="C993" s="36"/>
      <c r="D993" s="36"/>
      <c r="E993" s="36"/>
    </row>
    <row r="994" spans="1:5" ht="14.25" customHeight="1" x14ac:dyDescent="0.25">
      <c r="A994" s="7"/>
      <c r="B994" s="35"/>
      <c r="C994" s="36"/>
      <c r="D994" s="36"/>
      <c r="E994" s="36"/>
    </row>
    <row r="995" spans="1:5" ht="14.25" customHeight="1" x14ac:dyDescent="0.25">
      <c r="A995" s="7"/>
      <c r="B995" s="35"/>
      <c r="C995" s="36"/>
      <c r="D995" s="36"/>
      <c r="E995" s="36"/>
    </row>
    <row r="996" spans="1:5" ht="14.25" customHeight="1" x14ac:dyDescent="0.25">
      <c r="A996" s="7"/>
      <c r="B996" s="35"/>
      <c r="C996" s="36"/>
      <c r="D996" s="36"/>
      <c r="E996" s="36"/>
    </row>
    <row r="997" spans="1:5" ht="14.25" customHeight="1" x14ac:dyDescent="0.25">
      <c r="A997" s="7"/>
      <c r="B997" s="35"/>
      <c r="C997" s="36"/>
      <c r="D997" s="36"/>
      <c r="E997" s="36"/>
    </row>
    <row r="998" spans="1:5" ht="14.25" customHeight="1" x14ac:dyDescent="0.25">
      <c r="A998" s="7"/>
      <c r="B998" s="35"/>
      <c r="C998" s="36"/>
      <c r="D998" s="36"/>
      <c r="E998" s="36"/>
    </row>
    <row r="999" spans="1:5" ht="14.25" customHeight="1" x14ac:dyDescent="0.25">
      <c r="A999" s="7"/>
      <c r="B999" s="35"/>
      <c r="C999" s="36"/>
      <c r="D999" s="36"/>
      <c r="E999" s="36"/>
    </row>
    <row r="1000" spans="1:5" ht="14.25" customHeight="1" x14ac:dyDescent="0.25">
      <c r="A1000" s="7"/>
      <c r="B1000" s="35"/>
      <c r="C1000" s="36"/>
      <c r="D1000" s="36"/>
      <c r="E1000" s="36"/>
    </row>
    <row r="1001" spans="1:5" ht="14.25" customHeight="1" x14ac:dyDescent="0.25">
      <c r="A1001" s="7"/>
      <c r="B1001" s="35"/>
      <c r="C1001" s="36"/>
      <c r="D1001" s="36"/>
      <c r="E1001" s="36"/>
    </row>
    <row r="1002" spans="1:5" ht="14.25" customHeight="1" x14ac:dyDescent="0.25">
      <c r="A1002" s="7"/>
      <c r="B1002" s="35"/>
      <c r="C1002" s="36"/>
      <c r="D1002" s="36"/>
      <c r="E1002" s="36"/>
    </row>
    <row r="1003" spans="1:5" ht="14.25" customHeight="1" x14ac:dyDescent="0.25">
      <c r="A1003" s="7"/>
      <c r="B1003" s="35"/>
      <c r="C1003" s="36"/>
      <c r="D1003" s="36"/>
      <c r="E1003" s="36"/>
    </row>
    <row r="1004" spans="1:5" ht="14.25" customHeight="1" x14ac:dyDescent="0.25">
      <c r="A1004" s="7"/>
      <c r="B1004" s="35"/>
      <c r="C1004" s="36"/>
      <c r="D1004" s="36"/>
      <c r="E1004" s="36"/>
    </row>
    <row r="1005" spans="1:5" ht="14.25" customHeight="1" x14ac:dyDescent="0.25">
      <c r="A1005" s="7"/>
      <c r="B1005" s="35"/>
      <c r="C1005" s="36"/>
      <c r="D1005" s="36"/>
      <c r="E1005" s="36"/>
    </row>
    <row r="1006" spans="1:5" ht="14.25" customHeight="1" x14ac:dyDescent="0.25">
      <c r="A1006" s="7"/>
      <c r="B1006" s="35"/>
      <c r="C1006" s="36"/>
      <c r="D1006" s="36"/>
      <c r="E1006" s="36"/>
    </row>
    <row r="1007" spans="1:5" ht="14.25" customHeight="1" x14ac:dyDescent="0.25">
      <c r="A1007" s="7"/>
      <c r="B1007" s="35"/>
      <c r="C1007" s="36"/>
      <c r="D1007" s="36"/>
      <c r="E1007" s="36"/>
    </row>
    <row r="1008" spans="1:5" ht="14.25" customHeight="1" x14ac:dyDescent="0.25">
      <c r="A1008" s="7"/>
      <c r="B1008" s="35"/>
      <c r="C1008" s="36"/>
      <c r="D1008" s="36"/>
      <c r="E1008" s="36"/>
    </row>
    <row r="1009" spans="1:5" ht="14.25" customHeight="1" x14ac:dyDescent="0.25">
      <c r="A1009" s="7"/>
      <c r="B1009" s="35"/>
      <c r="C1009" s="36"/>
      <c r="D1009" s="36"/>
      <c r="E1009" s="36"/>
    </row>
    <row r="1010" spans="1:5" ht="14.25" customHeight="1" x14ac:dyDescent="0.25">
      <c r="A1010" s="7"/>
      <c r="B1010" s="35"/>
      <c r="C1010" s="36"/>
      <c r="D1010" s="36"/>
      <c r="E1010" s="36"/>
    </row>
    <row r="1011" spans="1:5" ht="14.25" customHeight="1" x14ac:dyDescent="0.25">
      <c r="A1011" s="7"/>
      <c r="B1011" s="35"/>
      <c r="C1011" s="36"/>
      <c r="D1011" s="36"/>
      <c r="E1011" s="36"/>
    </row>
    <row r="1012" spans="1:5" ht="14.25" customHeight="1" x14ac:dyDescent="0.25">
      <c r="A1012" s="7"/>
      <c r="B1012" s="35"/>
      <c r="C1012" s="36"/>
      <c r="D1012" s="36"/>
      <c r="E1012" s="36"/>
    </row>
    <row r="1013" spans="1:5" ht="14.25" customHeight="1" x14ac:dyDescent="0.25">
      <c r="A1013" s="7"/>
      <c r="B1013" s="35"/>
      <c r="C1013" s="36"/>
      <c r="D1013" s="36"/>
      <c r="E1013" s="36"/>
    </row>
    <row r="1014" spans="1:5" ht="14.25" customHeight="1" x14ac:dyDescent="0.25">
      <c r="A1014" s="7"/>
      <c r="B1014" s="35"/>
      <c r="C1014" s="36"/>
      <c r="D1014" s="36"/>
      <c r="E1014" s="36"/>
    </row>
    <row r="1015" spans="1:5" ht="14.25" customHeight="1" x14ac:dyDescent="0.25">
      <c r="A1015" s="7"/>
      <c r="B1015" s="35"/>
      <c r="C1015" s="36"/>
      <c r="D1015" s="36"/>
      <c r="E1015" s="36"/>
    </row>
    <row r="1016" spans="1:5" ht="14.25" customHeight="1" x14ac:dyDescent="0.25">
      <c r="A1016" s="7"/>
      <c r="B1016" s="35"/>
      <c r="C1016" s="36"/>
      <c r="D1016" s="36"/>
      <c r="E1016" s="36"/>
    </row>
    <row r="1017" spans="1:5" ht="14.25" customHeight="1" x14ac:dyDescent="0.25">
      <c r="A1017" s="7"/>
      <c r="B1017" s="35"/>
      <c r="C1017" s="36"/>
      <c r="D1017" s="36"/>
      <c r="E1017" s="36"/>
    </row>
    <row r="1018" spans="1:5" ht="14.25" customHeight="1" x14ac:dyDescent="0.25">
      <c r="A1018" s="7"/>
      <c r="B1018" s="35"/>
      <c r="C1018" s="36"/>
      <c r="D1018" s="36"/>
      <c r="E1018" s="36"/>
    </row>
    <row r="1019" spans="1:5" ht="14.25" customHeight="1" x14ac:dyDescent="0.25">
      <c r="A1019" s="7"/>
      <c r="B1019" s="35"/>
      <c r="C1019" s="36"/>
      <c r="D1019" s="36"/>
      <c r="E1019" s="36"/>
    </row>
    <row r="1020" spans="1:5" ht="14.25" customHeight="1" x14ac:dyDescent="0.25">
      <c r="A1020" s="7"/>
      <c r="B1020" s="35"/>
      <c r="C1020" s="36"/>
      <c r="D1020" s="36"/>
      <c r="E1020" s="36"/>
    </row>
    <row r="1021" spans="1:5" ht="14.25" customHeight="1" x14ac:dyDescent="0.25">
      <c r="A1021" s="7"/>
      <c r="B1021" s="35"/>
      <c r="C1021" s="36"/>
      <c r="D1021" s="36"/>
      <c r="E1021" s="36"/>
    </row>
    <row r="1022" spans="1:5" ht="14.25" customHeight="1" x14ac:dyDescent="0.25">
      <c r="A1022" s="7"/>
      <c r="B1022" s="35"/>
      <c r="C1022" s="36"/>
      <c r="D1022" s="36"/>
      <c r="E1022" s="36"/>
    </row>
    <row r="1023" spans="1:5" ht="14.25" customHeight="1" x14ac:dyDescent="0.25">
      <c r="A1023" s="7"/>
      <c r="B1023" s="35"/>
      <c r="C1023" s="36"/>
      <c r="D1023" s="36"/>
      <c r="E1023" s="36"/>
    </row>
    <row r="1024" spans="1:5" ht="14.25" customHeight="1" x14ac:dyDescent="0.25">
      <c r="A1024" s="7"/>
      <c r="B1024" s="35"/>
      <c r="C1024" s="36"/>
      <c r="D1024" s="36"/>
      <c r="E1024" s="36"/>
    </row>
    <row r="1025" spans="1:5" ht="14.25" customHeight="1" x14ac:dyDescent="0.25">
      <c r="A1025" s="7"/>
      <c r="B1025" s="35"/>
      <c r="C1025" s="36"/>
      <c r="D1025" s="36"/>
      <c r="E1025" s="36"/>
    </row>
    <row r="1026" spans="1:5" ht="14.25" customHeight="1" x14ac:dyDescent="0.25">
      <c r="A1026" s="7"/>
      <c r="B1026" s="35"/>
      <c r="C1026" s="36"/>
      <c r="D1026" s="36"/>
      <c r="E1026" s="36"/>
    </row>
    <row r="1027" spans="1:5" ht="14.25" customHeight="1" x14ac:dyDescent="0.25">
      <c r="A1027" s="7"/>
      <c r="B1027" s="35"/>
      <c r="C1027" s="36"/>
      <c r="D1027" s="36"/>
      <c r="E1027" s="36"/>
    </row>
    <row r="1028" spans="1:5" ht="14.25" customHeight="1" x14ac:dyDescent="0.25">
      <c r="A1028" s="7"/>
      <c r="B1028" s="35"/>
      <c r="C1028" s="36"/>
      <c r="D1028" s="36"/>
      <c r="E1028" s="36"/>
    </row>
    <row r="1029" spans="1:5" ht="14.25" customHeight="1" x14ac:dyDescent="0.25">
      <c r="A1029" s="7"/>
      <c r="B1029" s="35"/>
      <c r="C1029" s="36"/>
      <c r="D1029" s="36"/>
      <c r="E1029" s="36"/>
    </row>
    <row r="1030" spans="1:5" ht="14.25" customHeight="1" x14ac:dyDescent="0.25">
      <c r="A1030" s="7"/>
      <c r="B1030" s="35"/>
      <c r="C1030" s="36"/>
      <c r="D1030" s="36"/>
      <c r="E1030" s="36"/>
    </row>
    <row r="1031" spans="1:5" ht="14.25" customHeight="1" x14ac:dyDescent="0.25">
      <c r="A1031" s="7"/>
      <c r="B1031" s="35"/>
      <c r="C1031" s="36"/>
      <c r="D1031" s="36"/>
      <c r="E1031" s="36"/>
    </row>
    <row r="1032" spans="1:5" ht="14.25" customHeight="1" x14ac:dyDescent="0.25">
      <c r="A1032" s="7"/>
      <c r="B1032" s="35"/>
      <c r="C1032" s="36"/>
      <c r="D1032" s="36"/>
      <c r="E1032" s="36"/>
    </row>
    <row r="1033" spans="1:5" ht="14.25" customHeight="1" x14ac:dyDescent="0.25">
      <c r="A1033" s="7"/>
      <c r="B1033" s="35"/>
      <c r="C1033" s="36"/>
      <c r="D1033" s="36"/>
      <c r="E1033" s="36"/>
    </row>
    <row r="1034" spans="1:5" ht="14.25" customHeight="1" x14ac:dyDescent="0.25">
      <c r="A1034" s="7"/>
      <c r="B1034" s="35"/>
      <c r="C1034" s="36"/>
      <c r="D1034" s="36"/>
      <c r="E1034" s="36"/>
    </row>
    <row r="1035" spans="1:5" ht="14.25" customHeight="1" x14ac:dyDescent="0.25">
      <c r="A1035" s="7"/>
      <c r="B1035" s="35"/>
      <c r="C1035" s="36"/>
      <c r="D1035" s="36"/>
      <c r="E1035" s="36"/>
    </row>
    <row r="1036" spans="1:5" ht="14.25" customHeight="1" x14ac:dyDescent="0.25">
      <c r="A1036" s="7"/>
      <c r="B1036" s="35"/>
      <c r="C1036" s="36"/>
      <c r="D1036" s="36"/>
      <c r="E1036" s="36"/>
    </row>
    <row r="1037" spans="1:5" ht="14.25" customHeight="1" x14ac:dyDescent="0.25">
      <c r="A1037" s="7"/>
      <c r="B1037" s="35"/>
      <c r="C1037" s="36"/>
      <c r="D1037" s="36"/>
      <c r="E1037" s="36"/>
    </row>
    <row r="1038" spans="1:5" ht="14.25" customHeight="1" x14ac:dyDescent="0.25">
      <c r="A1038" s="7"/>
      <c r="B1038" s="35"/>
      <c r="C1038" s="36"/>
      <c r="D1038" s="36"/>
      <c r="E1038" s="36"/>
    </row>
  </sheetData>
  <mergeCells count="46">
    <mergeCell ref="A2:A11"/>
    <mergeCell ref="B2:B11"/>
    <mergeCell ref="A12:A17"/>
    <mergeCell ref="B12:B17"/>
    <mergeCell ref="A18:A31"/>
    <mergeCell ref="B18:B31"/>
    <mergeCell ref="B32:B34"/>
    <mergeCell ref="A32:A34"/>
    <mergeCell ref="A35:A40"/>
    <mergeCell ref="B35:B40"/>
    <mergeCell ref="A46:A48"/>
    <mergeCell ref="B46:B48"/>
    <mergeCell ref="A50:A62"/>
    <mergeCell ref="B50:B62"/>
    <mergeCell ref="A64:A66"/>
    <mergeCell ref="B64:B66"/>
    <mergeCell ref="A67:A71"/>
    <mergeCell ref="B67:B71"/>
    <mergeCell ref="A72:A73"/>
    <mergeCell ref="B72:B73"/>
    <mergeCell ref="B74:B76"/>
    <mergeCell ref="B77:B78"/>
    <mergeCell ref="A95:A98"/>
    <mergeCell ref="B88:B90"/>
    <mergeCell ref="B91:B94"/>
    <mergeCell ref="B95:B98"/>
    <mergeCell ref="A99:A100"/>
    <mergeCell ref="A101:A103"/>
    <mergeCell ref="A74:A76"/>
    <mergeCell ref="A77:A78"/>
    <mergeCell ref="A88:A90"/>
    <mergeCell ref="A91:A94"/>
    <mergeCell ref="B203:B208"/>
    <mergeCell ref="B209:B210"/>
    <mergeCell ref="B99:B100"/>
    <mergeCell ref="B101:B103"/>
    <mergeCell ref="B110:B125"/>
    <mergeCell ref="B126:B134"/>
    <mergeCell ref="B135:B140"/>
    <mergeCell ref="B141:B146"/>
    <mergeCell ref="B147:B152"/>
    <mergeCell ref="B153:B168"/>
    <mergeCell ref="B169:B177"/>
    <mergeCell ref="B178:B187"/>
    <mergeCell ref="B188:B199"/>
    <mergeCell ref="B200:B202"/>
  </mergeCells>
  <hyperlinks>
    <hyperlink ref="E101" r:id="rId1" xr:uid="{00000000-0004-0000-0300-000000000000}"/>
    <hyperlink ref="E102" r:id="rId2" xr:uid="{00000000-0004-0000-0300-000001000000}"/>
    <hyperlink ref="E103" r:id="rId3" xr:uid="{00000000-0004-0000-0300-000002000000}"/>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H1000"/>
  <sheetViews>
    <sheetView workbookViewId="0"/>
  </sheetViews>
  <sheetFormatPr defaultColWidth="14.42578125" defaultRowHeight="15" customHeight="1" x14ac:dyDescent="0.25"/>
  <cols>
    <col min="1" max="1" width="20.5703125" customWidth="1"/>
    <col min="2" max="2" width="31.28515625" customWidth="1"/>
    <col min="3" max="3" width="39.140625" customWidth="1"/>
    <col min="4" max="4" width="35" customWidth="1"/>
    <col min="5" max="5" width="41.42578125" customWidth="1"/>
    <col min="6" max="8" width="30.7109375" customWidth="1"/>
    <col min="9" max="26" width="9" customWidth="1"/>
  </cols>
  <sheetData>
    <row r="1" spans="1:8" ht="42.75" customHeight="1" x14ac:dyDescent="0.25">
      <c r="A1" s="69" t="s">
        <v>1</v>
      </c>
      <c r="B1" s="70" t="s">
        <v>847</v>
      </c>
      <c r="C1" s="71" t="s">
        <v>848</v>
      </c>
      <c r="D1" s="71" t="s">
        <v>849</v>
      </c>
      <c r="E1" s="71" t="s">
        <v>850</v>
      </c>
      <c r="F1" s="71" t="s">
        <v>851</v>
      </c>
      <c r="G1" s="71" t="s">
        <v>852</v>
      </c>
      <c r="H1" s="71" t="s">
        <v>853</v>
      </c>
    </row>
    <row r="2" spans="1:8" ht="129" customHeight="1" x14ac:dyDescent="0.25">
      <c r="A2" s="64">
        <v>1</v>
      </c>
      <c r="B2" s="72" t="s">
        <v>592</v>
      </c>
      <c r="C2" s="4" t="s">
        <v>854</v>
      </c>
      <c r="D2" s="4" t="s">
        <v>855</v>
      </c>
      <c r="E2" s="4" t="s">
        <v>856</v>
      </c>
      <c r="F2" s="73" t="s">
        <v>857</v>
      </c>
      <c r="G2" s="73" t="s">
        <v>858</v>
      </c>
      <c r="H2" s="73" t="s">
        <v>859</v>
      </c>
    </row>
    <row r="3" spans="1:8" ht="114.75" customHeight="1" x14ac:dyDescent="0.25">
      <c r="A3" s="64">
        <v>2</v>
      </c>
      <c r="B3" s="72" t="s">
        <v>459</v>
      </c>
      <c r="C3" s="4" t="s">
        <v>860</v>
      </c>
      <c r="D3" s="4" t="s">
        <v>861</v>
      </c>
      <c r="E3" s="4" t="s">
        <v>862</v>
      </c>
      <c r="F3" s="73" t="s">
        <v>863</v>
      </c>
      <c r="G3" s="73" t="s">
        <v>864</v>
      </c>
      <c r="H3" s="73" t="s">
        <v>865</v>
      </c>
    </row>
    <row r="4" spans="1:8" ht="158.25" customHeight="1" x14ac:dyDescent="0.25">
      <c r="A4" s="64">
        <v>3</v>
      </c>
      <c r="B4" s="72" t="s">
        <v>866</v>
      </c>
      <c r="C4" s="4" t="s">
        <v>867</v>
      </c>
      <c r="D4" s="4" t="s">
        <v>868</v>
      </c>
      <c r="E4" s="4" t="s">
        <v>869</v>
      </c>
      <c r="F4" s="73" t="s">
        <v>870</v>
      </c>
      <c r="G4" s="73" t="s">
        <v>871</v>
      </c>
      <c r="H4" s="73" t="s">
        <v>872</v>
      </c>
    </row>
    <row r="5" spans="1:8" ht="158.25" customHeight="1" x14ac:dyDescent="0.25">
      <c r="A5" s="64">
        <v>4</v>
      </c>
      <c r="B5" s="72" t="s">
        <v>873</v>
      </c>
      <c r="C5" s="4" t="s">
        <v>874</v>
      </c>
      <c r="D5" s="4" t="s">
        <v>875</v>
      </c>
      <c r="E5" s="4" t="s">
        <v>876</v>
      </c>
      <c r="F5" s="73" t="s">
        <v>877</v>
      </c>
      <c r="G5" s="73" t="s">
        <v>878</v>
      </c>
      <c r="H5" s="73" t="s">
        <v>879</v>
      </c>
    </row>
    <row r="6" spans="1:8" ht="158.25" customHeight="1" x14ac:dyDescent="0.25">
      <c r="A6" s="64">
        <v>5</v>
      </c>
      <c r="B6" s="72" t="s">
        <v>682</v>
      </c>
      <c r="C6" s="4" t="s">
        <v>880</v>
      </c>
      <c r="D6" s="4" t="s">
        <v>881</v>
      </c>
      <c r="E6" s="4" t="s">
        <v>882</v>
      </c>
      <c r="F6" s="73" t="s">
        <v>883</v>
      </c>
      <c r="G6" s="73" t="s">
        <v>884</v>
      </c>
      <c r="H6" s="73" t="s">
        <v>885</v>
      </c>
    </row>
    <row r="7" spans="1:8" ht="144" customHeight="1" x14ac:dyDescent="0.25">
      <c r="A7" s="64">
        <v>6</v>
      </c>
      <c r="B7" s="72" t="s">
        <v>886</v>
      </c>
      <c r="C7" s="4" t="s">
        <v>887</v>
      </c>
      <c r="D7" s="4" t="s">
        <v>888</v>
      </c>
      <c r="E7" s="4" t="s">
        <v>889</v>
      </c>
      <c r="F7" s="73" t="s">
        <v>890</v>
      </c>
      <c r="G7" s="4" t="s">
        <v>891</v>
      </c>
      <c r="H7" s="73" t="s">
        <v>892</v>
      </c>
    </row>
    <row r="8" spans="1:8" ht="158.25" customHeight="1" x14ac:dyDescent="0.25">
      <c r="A8" s="64">
        <v>7</v>
      </c>
      <c r="B8" s="72" t="s">
        <v>693</v>
      </c>
      <c r="C8" s="4" t="s">
        <v>893</v>
      </c>
      <c r="D8" s="4" t="s">
        <v>894</v>
      </c>
      <c r="E8" s="4" t="s">
        <v>895</v>
      </c>
      <c r="F8" s="73" t="s">
        <v>896</v>
      </c>
      <c r="G8" s="4" t="s">
        <v>897</v>
      </c>
      <c r="H8" s="73" t="s">
        <v>898</v>
      </c>
    </row>
    <row r="9" spans="1:8" ht="158.25" customHeight="1" x14ac:dyDescent="0.25">
      <c r="A9" s="64">
        <v>8</v>
      </c>
      <c r="B9" s="72" t="s">
        <v>817</v>
      </c>
      <c r="C9" s="4" t="s">
        <v>899</v>
      </c>
      <c r="D9" s="4" t="s">
        <v>900</v>
      </c>
      <c r="E9" s="4" t="s">
        <v>901</v>
      </c>
      <c r="F9" s="73" t="s">
        <v>902</v>
      </c>
      <c r="G9" s="4" t="s">
        <v>903</v>
      </c>
      <c r="H9" s="73" t="s">
        <v>904</v>
      </c>
    </row>
    <row r="10" spans="1:8" ht="158.25" customHeight="1" x14ac:dyDescent="0.25">
      <c r="A10" s="64">
        <v>9</v>
      </c>
      <c r="B10" s="72" t="s">
        <v>905</v>
      </c>
      <c r="C10" s="4" t="s">
        <v>906</v>
      </c>
      <c r="D10" s="4" t="s">
        <v>907</v>
      </c>
      <c r="E10" s="4" t="s">
        <v>908</v>
      </c>
      <c r="F10" s="73" t="s">
        <v>909</v>
      </c>
      <c r="G10" s="4" t="s">
        <v>910</v>
      </c>
      <c r="H10" s="73" t="s">
        <v>911</v>
      </c>
    </row>
    <row r="11" spans="1:8" ht="129" customHeight="1" x14ac:dyDescent="0.25">
      <c r="A11" s="64">
        <v>10</v>
      </c>
      <c r="B11" s="72" t="s">
        <v>704</v>
      </c>
      <c r="C11" s="4" t="s">
        <v>912</v>
      </c>
      <c r="D11" s="4" t="s">
        <v>913</v>
      </c>
      <c r="E11" s="4" t="s">
        <v>914</v>
      </c>
      <c r="F11" s="73" t="s">
        <v>915</v>
      </c>
      <c r="G11" s="4" t="s">
        <v>916</v>
      </c>
      <c r="H11" s="73" t="s">
        <v>917</v>
      </c>
    </row>
    <row r="12" spans="1:8" ht="144" customHeight="1" x14ac:dyDescent="0.25">
      <c r="A12" s="64">
        <v>11</v>
      </c>
      <c r="B12" s="72" t="s">
        <v>616</v>
      </c>
      <c r="C12" s="4" t="s">
        <v>918</v>
      </c>
      <c r="D12" s="4" t="s">
        <v>919</v>
      </c>
      <c r="E12" s="4" t="s">
        <v>920</v>
      </c>
      <c r="F12" s="73" t="s">
        <v>921</v>
      </c>
      <c r="G12" s="73" t="s">
        <v>922</v>
      </c>
      <c r="H12" s="73" t="s">
        <v>923</v>
      </c>
    </row>
    <row r="13" spans="1:8" ht="86.25" customHeight="1" x14ac:dyDescent="0.25">
      <c r="A13" s="64">
        <v>12</v>
      </c>
      <c r="B13" s="72" t="s">
        <v>924</v>
      </c>
      <c r="C13" s="4" t="s">
        <v>925</v>
      </c>
      <c r="D13" s="4" t="s">
        <v>926</v>
      </c>
      <c r="E13" s="4" t="s">
        <v>927</v>
      </c>
      <c r="F13" s="73" t="s">
        <v>928</v>
      </c>
      <c r="G13" s="73" t="s">
        <v>929</v>
      </c>
      <c r="H13" s="73" t="s">
        <v>930</v>
      </c>
    </row>
    <row r="14" spans="1:8" ht="14.25" customHeight="1" x14ac:dyDescent="0.25"/>
    <row r="15" spans="1:8" ht="14.25" customHeight="1" x14ac:dyDescent="0.25"/>
    <row r="16" spans="1:8"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36C09"/>
  </sheetPr>
  <dimension ref="A1:K1000"/>
  <sheetViews>
    <sheetView workbookViewId="0">
      <pane xSplit="3" ySplit="1" topLeftCell="D65" activePane="bottomRight" state="frozen"/>
      <selection pane="topRight" activeCell="D1" sqref="D1"/>
      <selection pane="bottomLeft" activeCell="A2" sqref="A2"/>
      <selection pane="bottomRight" activeCell="C93" sqref="C93"/>
    </sheetView>
  </sheetViews>
  <sheetFormatPr defaultColWidth="14.42578125" defaultRowHeight="15" customHeight="1" x14ac:dyDescent="0.25"/>
  <cols>
    <col min="1" max="1" width="8.85546875" customWidth="1"/>
    <col min="2" max="3" width="13" customWidth="1"/>
    <col min="4" max="4" width="34" customWidth="1"/>
    <col min="5" max="5" width="25" customWidth="1"/>
    <col min="6" max="6" width="38" customWidth="1"/>
    <col min="7" max="7" width="70" customWidth="1"/>
    <col min="8" max="8" width="65" customWidth="1"/>
    <col min="9" max="9" width="22" customWidth="1"/>
    <col min="10" max="10" width="55" customWidth="1"/>
    <col min="11" max="11" width="22" customWidth="1"/>
    <col min="12" max="26" width="9" customWidth="1"/>
  </cols>
  <sheetData>
    <row r="1" spans="1:11" ht="14.25" customHeight="1" x14ac:dyDescent="0.25">
      <c r="A1" s="74" t="s">
        <v>1</v>
      </c>
      <c r="B1" s="74" t="s">
        <v>931</v>
      </c>
      <c r="C1" s="74" t="s">
        <v>772</v>
      </c>
      <c r="D1" s="74" t="s">
        <v>773</v>
      </c>
      <c r="E1" s="74" t="s">
        <v>775</v>
      </c>
      <c r="F1" s="74" t="s">
        <v>932</v>
      </c>
      <c r="G1" s="74" t="s">
        <v>933</v>
      </c>
      <c r="H1" s="74" t="s">
        <v>934</v>
      </c>
      <c r="I1" s="74" t="s">
        <v>935</v>
      </c>
      <c r="J1" s="74" t="s">
        <v>936</v>
      </c>
      <c r="K1" s="74" t="s">
        <v>937</v>
      </c>
    </row>
    <row r="2" spans="1:11" ht="14.25" customHeight="1" x14ac:dyDescent="0.25">
      <c r="A2" s="75">
        <v>1</v>
      </c>
      <c r="B2" s="76">
        <v>46274</v>
      </c>
      <c r="C2" s="77" t="s">
        <v>938</v>
      </c>
      <c r="D2" s="77" t="s">
        <v>939</v>
      </c>
      <c r="E2" s="77" t="s">
        <v>940</v>
      </c>
      <c r="F2" s="77" t="s">
        <v>941</v>
      </c>
      <c r="G2" s="77" t="s">
        <v>942</v>
      </c>
      <c r="H2" s="77" t="s">
        <v>943</v>
      </c>
      <c r="I2" s="77" t="s">
        <v>944</v>
      </c>
      <c r="J2" s="77" t="s">
        <v>945</v>
      </c>
      <c r="K2" s="77" t="s">
        <v>647</v>
      </c>
    </row>
    <row r="3" spans="1:11" ht="14.25" customHeight="1" x14ac:dyDescent="0.25">
      <c r="A3" s="75">
        <v>2</v>
      </c>
      <c r="B3" s="76">
        <v>46273</v>
      </c>
      <c r="C3" s="77" t="s">
        <v>938</v>
      </c>
      <c r="D3" s="77" t="s">
        <v>946</v>
      </c>
      <c r="E3" s="77" t="s">
        <v>947</v>
      </c>
      <c r="F3" s="77" t="s">
        <v>948</v>
      </c>
      <c r="G3" s="77" t="s">
        <v>949</v>
      </c>
      <c r="H3" s="77" t="s">
        <v>950</v>
      </c>
      <c r="I3" s="77" t="s">
        <v>951</v>
      </c>
      <c r="J3" s="77" t="s">
        <v>952</v>
      </c>
      <c r="K3" s="77" t="s">
        <v>953</v>
      </c>
    </row>
    <row r="4" spans="1:11" ht="14.25" customHeight="1" x14ac:dyDescent="0.25">
      <c r="A4" s="75">
        <v>3</v>
      </c>
      <c r="B4" s="76">
        <v>46270</v>
      </c>
      <c r="C4" s="77" t="s">
        <v>938</v>
      </c>
      <c r="D4" s="77" t="s">
        <v>954</v>
      </c>
      <c r="E4" s="77" t="s">
        <v>955</v>
      </c>
      <c r="F4" s="77" t="s">
        <v>956</v>
      </c>
      <c r="G4" s="77" t="s">
        <v>957</v>
      </c>
      <c r="H4" s="77" t="s">
        <v>958</v>
      </c>
      <c r="I4" s="77" t="s">
        <v>959</v>
      </c>
      <c r="J4" s="77" t="s">
        <v>960</v>
      </c>
      <c r="K4" s="77" t="s">
        <v>953</v>
      </c>
    </row>
    <row r="5" spans="1:11" ht="14.25" customHeight="1" x14ac:dyDescent="0.25">
      <c r="A5" s="75">
        <v>4</v>
      </c>
      <c r="B5" s="76">
        <v>46270</v>
      </c>
      <c r="C5" s="77" t="s">
        <v>938</v>
      </c>
      <c r="D5" s="77" t="s">
        <v>961</v>
      </c>
      <c r="E5" s="77" t="s">
        <v>955</v>
      </c>
      <c r="F5" s="77" t="s">
        <v>962</v>
      </c>
      <c r="G5" s="77" t="s">
        <v>963</v>
      </c>
      <c r="H5" s="77" t="s">
        <v>964</v>
      </c>
      <c r="I5" s="77" t="s">
        <v>965</v>
      </c>
      <c r="J5" s="77" t="s">
        <v>966</v>
      </c>
      <c r="K5" s="77" t="s">
        <v>647</v>
      </c>
    </row>
    <row r="6" spans="1:11" ht="14.25" customHeight="1" x14ac:dyDescent="0.25">
      <c r="A6" s="75">
        <v>5</v>
      </c>
      <c r="B6" s="76">
        <v>46270</v>
      </c>
      <c r="C6" s="77" t="s">
        <v>938</v>
      </c>
      <c r="D6" s="77" t="s">
        <v>967</v>
      </c>
      <c r="E6" s="77" t="s">
        <v>955</v>
      </c>
      <c r="F6" s="77" t="s">
        <v>962</v>
      </c>
      <c r="G6" s="77" t="s">
        <v>968</v>
      </c>
      <c r="H6" s="77" t="s">
        <v>969</v>
      </c>
      <c r="I6" s="77" t="s">
        <v>970</v>
      </c>
      <c r="J6" s="77" t="s">
        <v>971</v>
      </c>
      <c r="K6" s="77" t="s">
        <v>647</v>
      </c>
    </row>
    <row r="7" spans="1:11" ht="14.25" customHeight="1" x14ac:dyDescent="0.25">
      <c r="A7" s="75">
        <v>6</v>
      </c>
      <c r="B7" s="76">
        <v>46270</v>
      </c>
      <c r="C7" s="77" t="s">
        <v>938</v>
      </c>
      <c r="D7" s="77" t="s">
        <v>961</v>
      </c>
      <c r="E7" s="77" t="s">
        <v>947</v>
      </c>
      <c r="F7" s="77" t="s">
        <v>972</v>
      </c>
      <c r="G7" s="77" t="s">
        <v>973</v>
      </c>
      <c r="H7" s="77" t="s">
        <v>974</v>
      </c>
      <c r="I7" s="77" t="s">
        <v>975</v>
      </c>
      <c r="J7" s="77" t="s">
        <v>976</v>
      </c>
      <c r="K7" s="77" t="s">
        <v>647</v>
      </c>
    </row>
    <row r="8" spans="1:11" ht="14.25" customHeight="1" x14ac:dyDescent="0.25">
      <c r="A8" s="75">
        <v>7</v>
      </c>
      <c r="B8" s="76">
        <v>46270</v>
      </c>
      <c r="C8" s="77" t="s">
        <v>938</v>
      </c>
      <c r="D8" s="77" t="s">
        <v>977</v>
      </c>
      <c r="E8" s="77" t="s">
        <v>955</v>
      </c>
      <c r="F8" s="77" t="s">
        <v>956</v>
      </c>
      <c r="G8" s="77" t="s">
        <v>978</v>
      </c>
      <c r="H8" s="77" t="s">
        <v>979</v>
      </c>
      <c r="I8" s="77" t="s">
        <v>980</v>
      </c>
      <c r="J8" s="77" t="s">
        <v>981</v>
      </c>
      <c r="K8" s="77" t="s">
        <v>647</v>
      </c>
    </row>
    <row r="9" spans="1:11" ht="14.25" customHeight="1" x14ac:dyDescent="0.25">
      <c r="A9" s="75">
        <v>8</v>
      </c>
      <c r="B9" s="76">
        <v>46270</v>
      </c>
      <c r="C9" s="77" t="s">
        <v>938</v>
      </c>
      <c r="D9" s="77" t="s">
        <v>982</v>
      </c>
      <c r="E9" s="77" t="s">
        <v>947</v>
      </c>
      <c r="F9" s="77" t="s">
        <v>983</v>
      </c>
      <c r="G9" s="77" t="s">
        <v>984</v>
      </c>
      <c r="H9" s="77" t="s">
        <v>985</v>
      </c>
      <c r="I9" s="77" t="s">
        <v>944</v>
      </c>
      <c r="J9" s="77" t="s">
        <v>986</v>
      </c>
      <c r="K9" s="77" t="s">
        <v>647</v>
      </c>
    </row>
    <row r="10" spans="1:11" ht="14.25" customHeight="1" x14ac:dyDescent="0.25">
      <c r="A10" s="75">
        <v>9</v>
      </c>
      <c r="B10" s="76">
        <v>46270</v>
      </c>
      <c r="C10" s="77" t="s">
        <v>987</v>
      </c>
      <c r="D10" s="77" t="s">
        <v>988</v>
      </c>
      <c r="E10" s="77" t="s">
        <v>940</v>
      </c>
      <c r="F10" s="77" t="s">
        <v>989</v>
      </c>
      <c r="G10" s="77" t="s">
        <v>990</v>
      </c>
      <c r="H10" s="77" t="s">
        <v>991</v>
      </c>
      <c r="I10" s="77" t="s">
        <v>992</v>
      </c>
      <c r="J10" s="77" t="s">
        <v>993</v>
      </c>
      <c r="K10" s="77" t="s">
        <v>632</v>
      </c>
    </row>
    <row r="11" spans="1:11" ht="14.25" customHeight="1" x14ac:dyDescent="0.25">
      <c r="A11" s="75">
        <v>10</v>
      </c>
      <c r="B11" s="76">
        <v>46270</v>
      </c>
      <c r="C11" s="77" t="s">
        <v>987</v>
      </c>
      <c r="D11" s="77" t="s">
        <v>994</v>
      </c>
      <c r="E11" s="77" t="s">
        <v>940</v>
      </c>
      <c r="F11" s="77" t="s">
        <v>989</v>
      </c>
      <c r="G11" s="77" t="s">
        <v>995</v>
      </c>
      <c r="H11" s="77" t="s">
        <v>996</v>
      </c>
      <c r="I11" s="77" t="s">
        <v>992</v>
      </c>
      <c r="J11" s="77" t="s">
        <v>997</v>
      </c>
      <c r="K11" s="77" t="s">
        <v>632</v>
      </c>
    </row>
    <row r="12" spans="1:11" ht="14.25" customHeight="1" x14ac:dyDescent="0.25">
      <c r="A12" s="75">
        <v>11</v>
      </c>
      <c r="B12" s="76">
        <v>46270</v>
      </c>
      <c r="C12" s="77" t="s">
        <v>987</v>
      </c>
      <c r="D12" s="77" t="s">
        <v>998</v>
      </c>
      <c r="E12" s="77" t="s">
        <v>947</v>
      </c>
      <c r="F12" s="77" t="s">
        <v>999</v>
      </c>
      <c r="G12" s="77" t="s">
        <v>1000</v>
      </c>
      <c r="H12" s="77" t="s">
        <v>1001</v>
      </c>
      <c r="I12" s="77" t="s">
        <v>1002</v>
      </c>
      <c r="J12" s="77" t="s">
        <v>1003</v>
      </c>
      <c r="K12" s="77" t="s">
        <v>632</v>
      </c>
    </row>
    <row r="13" spans="1:11" ht="14.25" customHeight="1" x14ac:dyDescent="0.25">
      <c r="A13" s="75">
        <v>12</v>
      </c>
      <c r="B13" s="76">
        <v>46269</v>
      </c>
      <c r="C13" s="77" t="s">
        <v>938</v>
      </c>
      <c r="D13" s="77" t="s">
        <v>1004</v>
      </c>
      <c r="E13" s="77" t="s">
        <v>947</v>
      </c>
      <c r="F13" s="77" t="s">
        <v>1005</v>
      </c>
      <c r="G13" s="77" t="s">
        <v>1006</v>
      </c>
      <c r="H13" s="77" t="s">
        <v>1007</v>
      </c>
      <c r="I13" s="77" t="s">
        <v>944</v>
      </c>
      <c r="J13" s="77" t="s">
        <v>1008</v>
      </c>
      <c r="K13" s="77" t="s">
        <v>647</v>
      </c>
    </row>
    <row r="14" spans="1:11" ht="14.25" customHeight="1" x14ac:dyDescent="0.25">
      <c r="A14" s="75">
        <v>13</v>
      </c>
      <c r="B14" s="76">
        <v>46269</v>
      </c>
      <c r="C14" s="77" t="s">
        <v>938</v>
      </c>
      <c r="D14" s="77" t="s">
        <v>967</v>
      </c>
      <c r="E14" s="77" t="s">
        <v>940</v>
      </c>
      <c r="F14" s="77" t="s">
        <v>1009</v>
      </c>
      <c r="G14" s="77" t="s">
        <v>1010</v>
      </c>
      <c r="H14" s="77" t="s">
        <v>1011</v>
      </c>
      <c r="I14" s="77" t="s">
        <v>951</v>
      </c>
      <c r="J14" s="77" t="s">
        <v>1012</v>
      </c>
      <c r="K14" s="77" t="s">
        <v>647</v>
      </c>
    </row>
    <row r="15" spans="1:11" ht="14.25" customHeight="1" x14ac:dyDescent="0.25">
      <c r="A15" s="75">
        <v>14</v>
      </c>
      <c r="B15" s="76">
        <v>46269</v>
      </c>
      <c r="C15" s="77" t="s">
        <v>987</v>
      </c>
      <c r="D15" s="77" t="s">
        <v>1013</v>
      </c>
      <c r="E15" s="77" t="s">
        <v>947</v>
      </c>
      <c r="F15" s="77" t="s">
        <v>999</v>
      </c>
      <c r="G15" s="77" t="s">
        <v>1014</v>
      </c>
      <c r="H15" s="77" t="s">
        <v>1015</v>
      </c>
      <c r="I15" s="77" t="s">
        <v>1016</v>
      </c>
      <c r="J15" s="77" t="s">
        <v>1017</v>
      </c>
      <c r="K15" s="77" t="s">
        <v>632</v>
      </c>
    </row>
    <row r="16" spans="1:11" ht="14.25" customHeight="1" x14ac:dyDescent="0.25">
      <c r="A16" s="75">
        <v>15</v>
      </c>
      <c r="B16" s="76">
        <v>46268</v>
      </c>
      <c r="C16" s="77" t="s">
        <v>938</v>
      </c>
      <c r="D16" s="77" t="s">
        <v>1018</v>
      </c>
      <c r="E16" s="77" t="s">
        <v>947</v>
      </c>
      <c r="F16" s="77" t="s">
        <v>1005</v>
      </c>
      <c r="G16" s="77" t="s">
        <v>1019</v>
      </c>
      <c r="H16" s="77" t="s">
        <v>1020</v>
      </c>
      <c r="I16" s="77" t="s">
        <v>944</v>
      </c>
      <c r="J16" s="77" t="s">
        <v>1021</v>
      </c>
      <c r="K16" s="77" t="s">
        <v>647</v>
      </c>
    </row>
    <row r="17" spans="1:11" ht="14.25" customHeight="1" x14ac:dyDescent="0.25">
      <c r="A17" s="75">
        <v>16</v>
      </c>
      <c r="B17" s="76">
        <v>46268</v>
      </c>
      <c r="C17" s="77" t="s">
        <v>938</v>
      </c>
      <c r="D17" s="77" t="s">
        <v>1022</v>
      </c>
      <c r="E17" s="77" t="s">
        <v>955</v>
      </c>
      <c r="F17" s="77" t="s">
        <v>962</v>
      </c>
      <c r="G17" s="77" t="s">
        <v>1023</v>
      </c>
      <c r="H17" s="77" t="s">
        <v>1024</v>
      </c>
      <c r="I17" s="77" t="s">
        <v>944</v>
      </c>
      <c r="J17" s="77" t="s">
        <v>1025</v>
      </c>
      <c r="K17" s="77" t="s">
        <v>647</v>
      </c>
    </row>
    <row r="18" spans="1:11" ht="14.25" customHeight="1" x14ac:dyDescent="0.25">
      <c r="A18" s="75">
        <v>17</v>
      </c>
      <c r="B18" s="76">
        <v>46268</v>
      </c>
      <c r="C18" s="77" t="s">
        <v>938</v>
      </c>
      <c r="D18" s="77" t="s">
        <v>967</v>
      </c>
      <c r="E18" s="77" t="s">
        <v>955</v>
      </c>
      <c r="F18" s="77" t="s">
        <v>962</v>
      </c>
      <c r="G18" s="77" t="s">
        <v>1026</v>
      </c>
      <c r="H18" s="77" t="s">
        <v>1027</v>
      </c>
      <c r="I18" s="77" t="s">
        <v>1028</v>
      </c>
      <c r="J18" s="77" t="s">
        <v>1029</v>
      </c>
      <c r="K18" s="77" t="s">
        <v>647</v>
      </c>
    </row>
    <row r="19" spans="1:11" ht="14.25" customHeight="1" x14ac:dyDescent="0.25">
      <c r="A19" s="75">
        <v>18</v>
      </c>
      <c r="B19" s="76">
        <v>46268</v>
      </c>
      <c r="C19" s="77" t="s">
        <v>938</v>
      </c>
      <c r="D19" s="77" t="s">
        <v>1030</v>
      </c>
      <c r="E19" s="77" t="s">
        <v>947</v>
      </c>
      <c r="F19" s="77" t="s">
        <v>972</v>
      </c>
      <c r="G19" s="77" t="s">
        <v>1031</v>
      </c>
      <c r="H19" s="77" t="s">
        <v>1032</v>
      </c>
      <c r="I19" s="77" t="s">
        <v>944</v>
      </c>
      <c r="J19" s="77" t="s">
        <v>1033</v>
      </c>
      <c r="K19" s="77" t="s">
        <v>647</v>
      </c>
    </row>
    <row r="20" spans="1:11" ht="14.25" customHeight="1" x14ac:dyDescent="0.25">
      <c r="A20" s="75">
        <v>19</v>
      </c>
      <c r="B20" s="76">
        <v>46268</v>
      </c>
      <c r="C20" s="77" t="s">
        <v>938</v>
      </c>
      <c r="D20" s="77" t="s">
        <v>1030</v>
      </c>
      <c r="E20" s="77" t="s">
        <v>947</v>
      </c>
      <c r="F20" s="77" t="s">
        <v>972</v>
      </c>
      <c r="G20" s="77" t="s">
        <v>1034</v>
      </c>
      <c r="H20" s="77" t="s">
        <v>1035</v>
      </c>
      <c r="I20" s="77" t="s">
        <v>944</v>
      </c>
      <c r="J20" s="77" t="s">
        <v>1036</v>
      </c>
      <c r="K20" s="77" t="s">
        <v>647</v>
      </c>
    </row>
    <row r="21" spans="1:11" ht="14.25" customHeight="1" x14ac:dyDescent="0.25">
      <c r="A21" s="75">
        <v>20</v>
      </c>
      <c r="B21" s="76">
        <v>46268</v>
      </c>
      <c r="C21" s="77" t="s">
        <v>987</v>
      </c>
      <c r="D21" s="77" t="s">
        <v>1037</v>
      </c>
      <c r="E21" s="77" t="s">
        <v>940</v>
      </c>
      <c r="F21" s="77" t="s">
        <v>989</v>
      </c>
      <c r="G21" s="77" t="s">
        <v>1038</v>
      </c>
      <c r="H21" s="77" t="s">
        <v>1039</v>
      </c>
      <c r="I21" s="77" t="s">
        <v>1040</v>
      </c>
      <c r="J21" s="77" t="s">
        <v>1041</v>
      </c>
      <c r="K21" s="77" t="s">
        <v>632</v>
      </c>
    </row>
    <row r="22" spans="1:11" ht="14.25" customHeight="1" x14ac:dyDescent="0.25">
      <c r="A22" s="75">
        <v>21</v>
      </c>
      <c r="B22" s="76">
        <v>46268</v>
      </c>
      <c r="C22" s="77" t="s">
        <v>1042</v>
      </c>
      <c r="D22" s="77" t="s">
        <v>1043</v>
      </c>
      <c r="E22" s="77" t="s">
        <v>955</v>
      </c>
      <c r="F22" s="77" t="s">
        <v>956</v>
      </c>
      <c r="G22" s="77" t="s">
        <v>1044</v>
      </c>
      <c r="H22" s="77" t="s">
        <v>1045</v>
      </c>
      <c r="I22" s="77" t="s">
        <v>1046</v>
      </c>
      <c r="J22" s="77" t="s">
        <v>1047</v>
      </c>
      <c r="K22" s="77" t="s">
        <v>632</v>
      </c>
    </row>
    <row r="23" spans="1:11" ht="14.25" customHeight="1" x14ac:dyDescent="0.25">
      <c r="A23" s="75">
        <v>22</v>
      </c>
      <c r="B23" s="76">
        <v>46268</v>
      </c>
      <c r="C23" s="77" t="s">
        <v>987</v>
      </c>
      <c r="D23" s="77" t="s">
        <v>1048</v>
      </c>
      <c r="E23" s="77" t="s">
        <v>955</v>
      </c>
      <c r="F23" s="77" t="s">
        <v>1049</v>
      </c>
      <c r="G23" s="77" t="s">
        <v>1050</v>
      </c>
      <c r="H23" s="77" t="s">
        <v>1051</v>
      </c>
      <c r="I23" s="77" t="s">
        <v>1052</v>
      </c>
      <c r="J23" s="77" t="s">
        <v>1053</v>
      </c>
      <c r="K23" s="77" t="s">
        <v>632</v>
      </c>
    </row>
    <row r="24" spans="1:11" ht="14.25" customHeight="1" x14ac:dyDescent="0.25">
      <c r="A24" s="75">
        <v>23</v>
      </c>
      <c r="B24" s="76">
        <v>46268</v>
      </c>
      <c r="C24" s="77" t="s">
        <v>938</v>
      </c>
      <c r="D24" s="77" t="s">
        <v>1054</v>
      </c>
      <c r="E24" s="77" t="s">
        <v>1055</v>
      </c>
      <c r="F24" s="77" t="s">
        <v>1056</v>
      </c>
      <c r="G24" s="77" t="s">
        <v>1057</v>
      </c>
      <c r="H24" s="77" t="s">
        <v>1058</v>
      </c>
      <c r="I24" s="77" t="s">
        <v>1059</v>
      </c>
      <c r="J24" s="77" t="s">
        <v>1060</v>
      </c>
      <c r="K24" s="77" t="s">
        <v>953</v>
      </c>
    </row>
    <row r="25" spans="1:11" ht="14.25" customHeight="1" x14ac:dyDescent="0.25">
      <c r="A25" s="75">
        <v>24</v>
      </c>
      <c r="B25" s="76">
        <v>46268</v>
      </c>
      <c r="C25" s="77" t="s">
        <v>938</v>
      </c>
      <c r="D25" s="77" t="s">
        <v>1061</v>
      </c>
      <c r="E25" s="77" t="s">
        <v>1062</v>
      </c>
      <c r="F25" s="77" t="s">
        <v>1063</v>
      </c>
      <c r="G25" s="77" t="s">
        <v>1064</v>
      </c>
      <c r="H25" s="77" t="s">
        <v>1065</v>
      </c>
      <c r="I25" s="77" t="s">
        <v>1066</v>
      </c>
      <c r="J25" s="77" t="s">
        <v>1067</v>
      </c>
      <c r="K25" s="77" t="s">
        <v>953</v>
      </c>
    </row>
    <row r="26" spans="1:11" ht="14.25" customHeight="1" x14ac:dyDescent="0.25">
      <c r="A26" s="75">
        <v>25</v>
      </c>
      <c r="B26" s="76">
        <v>46267</v>
      </c>
      <c r="C26" s="77" t="s">
        <v>938</v>
      </c>
      <c r="D26" s="77" t="s">
        <v>1068</v>
      </c>
      <c r="E26" s="77" t="s">
        <v>940</v>
      </c>
      <c r="F26" s="77" t="s">
        <v>941</v>
      </c>
      <c r="G26" s="77" t="s">
        <v>1069</v>
      </c>
      <c r="H26" s="77" t="s">
        <v>1070</v>
      </c>
      <c r="I26" s="77" t="s">
        <v>1071</v>
      </c>
      <c r="J26" s="77" t="s">
        <v>1072</v>
      </c>
      <c r="K26" s="77" t="s">
        <v>953</v>
      </c>
    </row>
    <row r="27" spans="1:11" ht="14.25" customHeight="1" x14ac:dyDescent="0.25">
      <c r="A27" s="75">
        <v>26</v>
      </c>
      <c r="B27" s="76">
        <v>46267</v>
      </c>
      <c r="C27" s="77" t="s">
        <v>938</v>
      </c>
      <c r="D27" s="77" t="s">
        <v>1073</v>
      </c>
      <c r="E27" s="77" t="s">
        <v>940</v>
      </c>
      <c r="F27" s="77" t="s">
        <v>941</v>
      </c>
      <c r="G27" s="77" t="s">
        <v>1074</v>
      </c>
      <c r="H27" s="77" t="s">
        <v>1075</v>
      </c>
      <c r="I27" s="77" t="s">
        <v>944</v>
      </c>
      <c r="J27" s="77" t="s">
        <v>1076</v>
      </c>
      <c r="K27" s="77" t="s">
        <v>953</v>
      </c>
    </row>
    <row r="28" spans="1:11" ht="14.25" customHeight="1" x14ac:dyDescent="0.25">
      <c r="A28" s="75">
        <v>27</v>
      </c>
      <c r="B28" s="76">
        <v>46267</v>
      </c>
      <c r="C28" s="77" t="s">
        <v>938</v>
      </c>
      <c r="D28" s="77" t="s">
        <v>1077</v>
      </c>
      <c r="E28" s="77" t="s">
        <v>947</v>
      </c>
      <c r="F28" s="77" t="s">
        <v>948</v>
      </c>
      <c r="G28" s="77" t="s">
        <v>1078</v>
      </c>
      <c r="H28" s="77" t="s">
        <v>1079</v>
      </c>
      <c r="I28" s="77" t="s">
        <v>1080</v>
      </c>
      <c r="J28" s="77" t="s">
        <v>1081</v>
      </c>
      <c r="K28" s="77" t="s">
        <v>953</v>
      </c>
    </row>
    <row r="29" spans="1:11" ht="14.25" customHeight="1" x14ac:dyDescent="0.25">
      <c r="A29" s="75">
        <v>28</v>
      </c>
      <c r="B29" s="76">
        <v>46267</v>
      </c>
      <c r="C29" s="77" t="s">
        <v>938</v>
      </c>
      <c r="D29" s="77" t="s">
        <v>1082</v>
      </c>
      <c r="E29" s="77" t="s">
        <v>947</v>
      </c>
      <c r="F29" s="77" t="s">
        <v>1005</v>
      </c>
      <c r="G29" s="77" t="s">
        <v>1083</v>
      </c>
      <c r="H29" s="77" t="s">
        <v>1084</v>
      </c>
      <c r="I29" s="77" t="s">
        <v>980</v>
      </c>
      <c r="J29" s="77" t="s">
        <v>1085</v>
      </c>
      <c r="K29" s="77" t="s">
        <v>647</v>
      </c>
    </row>
    <row r="30" spans="1:11" ht="14.25" customHeight="1" x14ac:dyDescent="0.25">
      <c r="A30" s="75">
        <v>29</v>
      </c>
      <c r="B30" s="76">
        <v>46267</v>
      </c>
      <c r="C30" s="77" t="s">
        <v>987</v>
      </c>
      <c r="D30" s="77" t="s">
        <v>1086</v>
      </c>
      <c r="E30" s="77" t="s">
        <v>940</v>
      </c>
      <c r="F30" s="77" t="s">
        <v>989</v>
      </c>
      <c r="G30" s="77" t="s">
        <v>1087</v>
      </c>
      <c r="H30" s="77" t="s">
        <v>1088</v>
      </c>
      <c r="I30" s="77" t="s">
        <v>1089</v>
      </c>
      <c r="J30" s="77" t="s">
        <v>1090</v>
      </c>
      <c r="K30" s="77" t="s">
        <v>632</v>
      </c>
    </row>
    <row r="31" spans="1:11" ht="14.25" customHeight="1" x14ac:dyDescent="0.25">
      <c r="A31" s="75">
        <v>30</v>
      </c>
      <c r="B31" s="76">
        <v>46267</v>
      </c>
      <c r="C31" s="77" t="s">
        <v>987</v>
      </c>
      <c r="D31" s="77" t="s">
        <v>1091</v>
      </c>
      <c r="E31" s="77" t="s">
        <v>940</v>
      </c>
      <c r="F31" s="77" t="s">
        <v>1009</v>
      </c>
      <c r="G31" s="77" t="s">
        <v>1092</v>
      </c>
      <c r="H31" s="77" t="s">
        <v>1093</v>
      </c>
      <c r="I31" s="77" t="s">
        <v>1094</v>
      </c>
      <c r="J31" s="77" t="s">
        <v>1095</v>
      </c>
      <c r="K31" s="77" t="s">
        <v>632</v>
      </c>
    </row>
    <row r="32" spans="1:11" ht="14.25" customHeight="1" x14ac:dyDescent="0.25">
      <c r="A32" s="75">
        <v>31</v>
      </c>
      <c r="B32" s="76">
        <v>46267</v>
      </c>
      <c r="C32" s="77" t="s">
        <v>987</v>
      </c>
      <c r="D32" s="77" t="s">
        <v>1096</v>
      </c>
      <c r="E32" s="77" t="s">
        <v>947</v>
      </c>
      <c r="F32" s="77" t="s">
        <v>999</v>
      </c>
      <c r="G32" s="77" t="s">
        <v>1097</v>
      </c>
      <c r="H32" s="77" t="s">
        <v>1098</v>
      </c>
      <c r="I32" s="77" t="s">
        <v>1099</v>
      </c>
      <c r="J32" s="77" t="s">
        <v>1100</v>
      </c>
      <c r="K32" s="77" t="s">
        <v>632</v>
      </c>
    </row>
    <row r="33" spans="1:11" ht="14.25" customHeight="1" x14ac:dyDescent="0.25">
      <c r="A33" s="75">
        <v>32</v>
      </c>
      <c r="B33" s="76">
        <v>46267</v>
      </c>
      <c r="C33" s="77" t="s">
        <v>987</v>
      </c>
      <c r="D33" s="77" t="s">
        <v>1101</v>
      </c>
      <c r="E33" s="77" t="s">
        <v>947</v>
      </c>
      <c r="F33" s="77" t="s">
        <v>999</v>
      </c>
      <c r="G33" s="77" t="s">
        <v>1102</v>
      </c>
      <c r="H33" s="77" t="s">
        <v>1103</v>
      </c>
      <c r="I33" s="77" t="s">
        <v>1104</v>
      </c>
      <c r="J33" s="77" t="s">
        <v>1105</v>
      </c>
      <c r="K33" s="77" t="s">
        <v>632</v>
      </c>
    </row>
    <row r="34" spans="1:11" ht="14.25" customHeight="1" x14ac:dyDescent="0.25">
      <c r="A34" s="75">
        <v>33</v>
      </c>
      <c r="B34" s="76">
        <v>46267</v>
      </c>
      <c r="C34" s="77" t="s">
        <v>1042</v>
      </c>
      <c r="D34" s="77" t="s">
        <v>1106</v>
      </c>
      <c r="E34" s="77" t="s">
        <v>947</v>
      </c>
      <c r="F34" s="77" t="s">
        <v>1107</v>
      </c>
      <c r="G34" s="77" t="s">
        <v>1108</v>
      </c>
      <c r="H34" s="77" t="s">
        <v>1109</v>
      </c>
      <c r="I34" s="77" t="s">
        <v>1110</v>
      </c>
      <c r="J34" s="77" t="s">
        <v>1111</v>
      </c>
      <c r="K34" s="77" t="s">
        <v>632</v>
      </c>
    </row>
    <row r="35" spans="1:11" ht="14.25" customHeight="1" x14ac:dyDescent="0.25">
      <c r="A35" s="75">
        <v>34</v>
      </c>
      <c r="B35" s="76">
        <v>46267</v>
      </c>
      <c r="C35" s="77" t="s">
        <v>987</v>
      </c>
      <c r="D35" s="77" t="s">
        <v>1112</v>
      </c>
      <c r="E35" s="77" t="s">
        <v>955</v>
      </c>
      <c r="F35" s="77" t="s">
        <v>956</v>
      </c>
      <c r="G35" s="77" t="s">
        <v>1113</v>
      </c>
      <c r="H35" s="77" t="s">
        <v>1114</v>
      </c>
      <c r="I35" s="77" t="s">
        <v>1115</v>
      </c>
      <c r="J35" s="77" t="s">
        <v>1116</v>
      </c>
      <c r="K35" s="77" t="s">
        <v>632</v>
      </c>
    </row>
    <row r="36" spans="1:11" ht="14.25" customHeight="1" x14ac:dyDescent="0.25">
      <c r="A36" s="75">
        <v>35</v>
      </c>
      <c r="B36" s="76">
        <v>46267</v>
      </c>
      <c r="C36" s="77" t="s">
        <v>938</v>
      </c>
      <c r="D36" s="77" t="s">
        <v>1117</v>
      </c>
      <c r="E36" s="77" t="s">
        <v>1062</v>
      </c>
      <c r="F36" s="77" t="s">
        <v>1063</v>
      </c>
      <c r="G36" s="77" t="s">
        <v>1118</v>
      </c>
      <c r="H36" s="77" t="s">
        <v>1119</v>
      </c>
      <c r="I36" s="77" t="s">
        <v>1120</v>
      </c>
      <c r="J36" s="77" t="s">
        <v>1121</v>
      </c>
      <c r="K36" s="77" t="s">
        <v>953</v>
      </c>
    </row>
    <row r="37" spans="1:11" ht="14.25" customHeight="1" x14ac:dyDescent="0.25">
      <c r="A37" s="75">
        <v>36</v>
      </c>
      <c r="B37" s="76">
        <v>46267</v>
      </c>
      <c r="C37" s="77" t="s">
        <v>938</v>
      </c>
      <c r="D37" s="77" t="s">
        <v>1122</v>
      </c>
      <c r="E37" s="77" t="s">
        <v>1062</v>
      </c>
      <c r="F37" s="77" t="s">
        <v>1063</v>
      </c>
      <c r="G37" s="77" t="s">
        <v>1123</v>
      </c>
      <c r="H37" s="77" t="s">
        <v>1124</v>
      </c>
      <c r="I37" s="77" t="s">
        <v>944</v>
      </c>
      <c r="J37" s="77" t="s">
        <v>1125</v>
      </c>
      <c r="K37" s="77" t="s">
        <v>953</v>
      </c>
    </row>
    <row r="38" spans="1:11" ht="14.25" customHeight="1" x14ac:dyDescent="0.25">
      <c r="A38" s="75">
        <v>37</v>
      </c>
      <c r="B38" s="76">
        <v>46267</v>
      </c>
      <c r="C38" s="77" t="s">
        <v>938</v>
      </c>
      <c r="D38" s="77" t="s">
        <v>1126</v>
      </c>
      <c r="E38" s="77" t="s">
        <v>1062</v>
      </c>
      <c r="F38" s="77" t="s">
        <v>1063</v>
      </c>
      <c r="G38" s="77" t="s">
        <v>1127</v>
      </c>
      <c r="H38" s="77" t="s">
        <v>1128</v>
      </c>
      <c r="I38" s="77" t="s">
        <v>1129</v>
      </c>
      <c r="J38" s="77" t="s">
        <v>1130</v>
      </c>
      <c r="K38" s="77" t="s">
        <v>953</v>
      </c>
    </row>
    <row r="39" spans="1:11" ht="14.25" customHeight="1" x14ac:dyDescent="0.25">
      <c r="A39" s="75">
        <v>38</v>
      </c>
      <c r="B39" s="76">
        <v>46266</v>
      </c>
      <c r="C39" s="77" t="s">
        <v>938</v>
      </c>
      <c r="D39" s="77" t="s">
        <v>1131</v>
      </c>
      <c r="E39" s="77" t="s">
        <v>947</v>
      </c>
      <c r="F39" s="77" t="s">
        <v>1132</v>
      </c>
      <c r="G39" s="77" t="s">
        <v>1133</v>
      </c>
      <c r="H39" s="77" t="s">
        <v>1134</v>
      </c>
      <c r="I39" s="77" t="s">
        <v>1135</v>
      </c>
      <c r="J39" s="77" t="s">
        <v>1136</v>
      </c>
      <c r="K39" s="77" t="s">
        <v>953</v>
      </c>
    </row>
    <row r="40" spans="1:11" ht="14.25" customHeight="1" x14ac:dyDescent="0.25">
      <c r="A40" s="75">
        <v>39</v>
      </c>
      <c r="B40" s="76">
        <v>46266</v>
      </c>
      <c r="C40" s="77" t="s">
        <v>938</v>
      </c>
      <c r="D40" s="77" t="s">
        <v>1137</v>
      </c>
      <c r="E40" s="77" t="s">
        <v>940</v>
      </c>
      <c r="F40" s="77" t="s">
        <v>989</v>
      </c>
      <c r="G40" s="77" t="s">
        <v>1138</v>
      </c>
      <c r="H40" s="77" t="s">
        <v>1139</v>
      </c>
      <c r="I40" s="77" t="s">
        <v>436</v>
      </c>
      <c r="J40" s="77" t="s">
        <v>1140</v>
      </c>
      <c r="K40" s="77" t="s">
        <v>953</v>
      </c>
    </row>
    <row r="41" spans="1:11" ht="14.25" customHeight="1" x14ac:dyDescent="0.25">
      <c r="A41" s="75">
        <v>40</v>
      </c>
      <c r="B41" s="76">
        <v>46266</v>
      </c>
      <c r="C41" s="77" t="s">
        <v>938</v>
      </c>
      <c r="D41" s="77" t="s">
        <v>1141</v>
      </c>
      <c r="E41" s="77" t="s">
        <v>940</v>
      </c>
      <c r="F41" s="77" t="s">
        <v>989</v>
      </c>
      <c r="G41" s="77" t="s">
        <v>1142</v>
      </c>
      <c r="H41" s="77" t="s">
        <v>1143</v>
      </c>
      <c r="I41" s="77" t="s">
        <v>1144</v>
      </c>
      <c r="J41" s="77" t="s">
        <v>1145</v>
      </c>
      <c r="K41" s="77" t="s">
        <v>953</v>
      </c>
    </row>
    <row r="42" spans="1:11" ht="14.25" customHeight="1" x14ac:dyDescent="0.25">
      <c r="A42" s="75">
        <v>41</v>
      </c>
      <c r="B42" s="76">
        <v>46266</v>
      </c>
      <c r="C42" s="77" t="s">
        <v>938</v>
      </c>
      <c r="D42" s="77" t="s">
        <v>1146</v>
      </c>
      <c r="E42" s="77" t="s">
        <v>947</v>
      </c>
      <c r="F42" s="77" t="s">
        <v>1005</v>
      </c>
      <c r="G42" s="77" t="s">
        <v>1147</v>
      </c>
      <c r="H42" s="77" t="s">
        <v>1148</v>
      </c>
      <c r="I42" s="77" t="s">
        <v>951</v>
      </c>
      <c r="J42" s="77" t="s">
        <v>1149</v>
      </c>
      <c r="K42" s="77" t="s">
        <v>647</v>
      </c>
    </row>
    <row r="43" spans="1:11" ht="14.25" customHeight="1" x14ac:dyDescent="0.25">
      <c r="A43" s="75">
        <v>42</v>
      </c>
      <c r="B43" s="76">
        <v>46266</v>
      </c>
      <c r="C43" s="77" t="s">
        <v>987</v>
      </c>
      <c r="D43" s="77" t="s">
        <v>1150</v>
      </c>
      <c r="E43" s="77" t="s">
        <v>947</v>
      </c>
      <c r="F43" s="77" t="s">
        <v>999</v>
      </c>
      <c r="G43" s="77" t="s">
        <v>1151</v>
      </c>
      <c r="H43" s="77" t="s">
        <v>1152</v>
      </c>
      <c r="I43" s="77" t="s">
        <v>1094</v>
      </c>
      <c r="J43" s="77" t="s">
        <v>1153</v>
      </c>
      <c r="K43" s="77" t="s">
        <v>632</v>
      </c>
    </row>
    <row r="44" spans="1:11" ht="14.25" customHeight="1" x14ac:dyDescent="0.25">
      <c r="A44" s="75">
        <v>43</v>
      </c>
      <c r="B44" s="76">
        <v>46265</v>
      </c>
      <c r="C44" s="77" t="s">
        <v>938</v>
      </c>
      <c r="D44" s="77" t="s">
        <v>1154</v>
      </c>
      <c r="E44" s="77" t="s">
        <v>955</v>
      </c>
      <c r="F44" s="77" t="s">
        <v>956</v>
      </c>
      <c r="G44" s="77" t="s">
        <v>1155</v>
      </c>
      <c r="H44" s="77" t="s">
        <v>1156</v>
      </c>
      <c r="I44" s="77" t="s">
        <v>951</v>
      </c>
      <c r="J44" s="77" t="s">
        <v>1157</v>
      </c>
      <c r="K44" s="77" t="s">
        <v>953</v>
      </c>
    </row>
    <row r="45" spans="1:11" ht="14.25" customHeight="1" x14ac:dyDescent="0.25">
      <c r="A45" s="75">
        <v>44</v>
      </c>
      <c r="B45" s="76">
        <v>46265</v>
      </c>
      <c r="C45" s="77" t="s">
        <v>938</v>
      </c>
      <c r="D45" s="77" t="s">
        <v>1158</v>
      </c>
      <c r="E45" s="77" t="s">
        <v>940</v>
      </c>
      <c r="F45" s="77" t="s">
        <v>989</v>
      </c>
      <c r="G45" s="77" t="s">
        <v>1159</v>
      </c>
      <c r="H45" s="77" t="s">
        <v>1160</v>
      </c>
      <c r="I45" s="77" t="s">
        <v>1161</v>
      </c>
      <c r="J45" s="77" t="s">
        <v>1162</v>
      </c>
      <c r="K45" s="77" t="s">
        <v>647</v>
      </c>
    </row>
    <row r="46" spans="1:11" ht="14.25" customHeight="1" x14ac:dyDescent="0.25">
      <c r="A46" s="75">
        <v>45</v>
      </c>
      <c r="B46" s="76">
        <v>46265</v>
      </c>
      <c r="C46" s="77" t="s">
        <v>938</v>
      </c>
      <c r="D46" s="77" t="s">
        <v>1163</v>
      </c>
      <c r="E46" s="77" t="s">
        <v>940</v>
      </c>
      <c r="F46" s="77" t="s">
        <v>989</v>
      </c>
      <c r="G46" s="77" t="s">
        <v>1164</v>
      </c>
      <c r="H46" s="77" t="s">
        <v>1165</v>
      </c>
      <c r="I46" s="77" t="s">
        <v>1161</v>
      </c>
      <c r="J46" s="77" t="s">
        <v>1166</v>
      </c>
      <c r="K46" s="77" t="s">
        <v>953</v>
      </c>
    </row>
    <row r="47" spans="1:11" ht="14.25" customHeight="1" x14ac:dyDescent="0.25">
      <c r="A47" s="75">
        <v>46</v>
      </c>
      <c r="B47" s="76">
        <v>46262</v>
      </c>
      <c r="C47" s="77" t="s">
        <v>938</v>
      </c>
      <c r="D47" s="77" t="s">
        <v>1167</v>
      </c>
      <c r="E47" s="77" t="s">
        <v>947</v>
      </c>
      <c r="F47" s="77" t="s">
        <v>948</v>
      </c>
      <c r="G47" s="77" t="s">
        <v>1168</v>
      </c>
      <c r="H47" s="77" t="s">
        <v>1169</v>
      </c>
      <c r="I47" s="77" t="s">
        <v>1170</v>
      </c>
      <c r="J47" s="77" t="s">
        <v>1171</v>
      </c>
      <c r="K47" s="77" t="s">
        <v>953</v>
      </c>
    </row>
    <row r="48" spans="1:11" ht="14.25" customHeight="1" x14ac:dyDescent="0.25">
      <c r="A48" s="75">
        <v>47</v>
      </c>
      <c r="B48" s="76">
        <v>46262</v>
      </c>
      <c r="C48" s="77" t="s">
        <v>938</v>
      </c>
      <c r="D48" s="77" t="s">
        <v>1167</v>
      </c>
      <c r="E48" s="77" t="s">
        <v>955</v>
      </c>
      <c r="F48" s="77" t="s">
        <v>956</v>
      </c>
      <c r="G48" s="77" t="s">
        <v>1172</v>
      </c>
      <c r="H48" s="77" t="s">
        <v>1173</v>
      </c>
      <c r="I48" s="77" t="s">
        <v>1170</v>
      </c>
      <c r="J48" s="77" t="s">
        <v>1174</v>
      </c>
      <c r="K48" s="77" t="s">
        <v>647</v>
      </c>
    </row>
    <row r="49" spans="1:11" ht="14.25" customHeight="1" x14ac:dyDescent="0.25">
      <c r="A49" s="75">
        <v>48</v>
      </c>
      <c r="B49" s="76">
        <v>46262</v>
      </c>
      <c r="C49" s="77" t="s">
        <v>1175</v>
      </c>
      <c r="D49" s="77" t="s">
        <v>1176</v>
      </c>
      <c r="E49" s="77" t="s">
        <v>947</v>
      </c>
      <c r="F49" s="77" t="s">
        <v>948</v>
      </c>
      <c r="G49" s="77" t="s">
        <v>1177</v>
      </c>
      <c r="H49" s="77" t="s">
        <v>1178</v>
      </c>
      <c r="I49" s="77" t="s">
        <v>944</v>
      </c>
      <c r="J49" s="77" t="s">
        <v>1179</v>
      </c>
      <c r="K49" s="77" t="s">
        <v>632</v>
      </c>
    </row>
    <row r="50" spans="1:11" ht="14.25" customHeight="1" x14ac:dyDescent="0.25">
      <c r="A50" s="75">
        <v>49</v>
      </c>
      <c r="B50" s="76">
        <v>46261</v>
      </c>
      <c r="C50" s="77" t="s">
        <v>938</v>
      </c>
      <c r="D50" s="77" t="s">
        <v>1180</v>
      </c>
      <c r="E50" s="77" t="s">
        <v>947</v>
      </c>
      <c r="F50" s="77" t="s">
        <v>999</v>
      </c>
      <c r="G50" s="77" t="s">
        <v>1181</v>
      </c>
      <c r="H50" s="77" t="s">
        <v>1182</v>
      </c>
      <c r="I50" s="77" t="s">
        <v>1161</v>
      </c>
      <c r="J50" s="77" t="s">
        <v>1183</v>
      </c>
      <c r="K50" s="77" t="s">
        <v>953</v>
      </c>
    </row>
    <row r="51" spans="1:11" ht="14.25" customHeight="1" x14ac:dyDescent="0.25">
      <c r="A51" s="75">
        <v>50</v>
      </c>
      <c r="B51" s="76">
        <v>46261</v>
      </c>
      <c r="C51" s="77" t="s">
        <v>938</v>
      </c>
      <c r="D51" s="77" t="s">
        <v>1184</v>
      </c>
      <c r="E51" s="77" t="s">
        <v>955</v>
      </c>
      <c r="F51" s="77" t="s">
        <v>1185</v>
      </c>
      <c r="G51" s="77" t="s">
        <v>1186</v>
      </c>
      <c r="H51" s="77" t="s">
        <v>1187</v>
      </c>
      <c r="I51" s="77" t="s">
        <v>1135</v>
      </c>
      <c r="J51" s="77" t="s">
        <v>1188</v>
      </c>
      <c r="K51" s="77" t="s">
        <v>953</v>
      </c>
    </row>
    <row r="52" spans="1:11" ht="14.25" customHeight="1" x14ac:dyDescent="0.25">
      <c r="A52" s="75">
        <v>51</v>
      </c>
      <c r="B52" s="76">
        <v>46260</v>
      </c>
      <c r="C52" s="77" t="s">
        <v>938</v>
      </c>
      <c r="D52" s="77" t="s">
        <v>1189</v>
      </c>
      <c r="E52" s="77" t="s">
        <v>947</v>
      </c>
      <c r="F52" s="77" t="s">
        <v>972</v>
      </c>
      <c r="G52" s="77" t="s">
        <v>1190</v>
      </c>
      <c r="H52" s="77" t="s">
        <v>1191</v>
      </c>
      <c r="I52" s="77" t="s">
        <v>980</v>
      </c>
      <c r="J52" s="77" t="s">
        <v>1192</v>
      </c>
      <c r="K52" s="77" t="s">
        <v>953</v>
      </c>
    </row>
    <row r="53" spans="1:11" ht="14.25" customHeight="1" x14ac:dyDescent="0.25">
      <c r="A53" s="75">
        <v>52</v>
      </c>
      <c r="B53" s="76">
        <v>46260</v>
      </c>
      <c r="C53" s="77" t="s">
        <v>938</v>
      </c>
      <c r="D53" s="77" t="s">
        <v>1193</v>
      </c>
      <c r="E53" s="77" t="s">
        <v>940</v>
      </c>
      <c r="F53" s="77" t="s">
        <v>1009</v>
      </c>
      <c r="G53" s="77" t="s">
        <v>1194</v>
      </c>
      <c r="H53" s="77" t="s">
        <v>1195</v>
      </c>
      <c r="I53" s="77" t="s">
        <v>944</v>
      </c>
      <c r="J53" s="77" t="s">
        <v>1196</v>
      </c>
      <c r="K53" s="77" t="s">
        <v>953</v>
      </c>
    </row>
    <row r="54" spans="1:11" ht="14.25" customHeight="1" x14ac:dyDescent="0.25">
      <c r="A54" s="75">
        <v>53</v>
      </c>
      <c r="B54" s="76">
        <v>46259</v>
      </c>
      <c r="C54" s="77" t="s">
        <v>938</v>
      </c>
      <c r="D54" s="77" t="s">
        <v>1197</v>
      </c>
      <c r="E54" s="77" t="s">
        <v>955</v>
      </c>
      <c r="F54" s="77" t="s">
        <v>956</v>
      </c>
      <c r="G54" s="77" t="s">
        <v>1198</v>
      </c>
      <c r="H54" s="77" t="s">
        <v>1199</v>
      </c>
      <c r="I54" s="77" t="s">
        <v>1071</v>
      </c>
      <c r="J54" s="77" t="s">
        <v>1200</v>
      </c>
      <c r="K54" s="77" t="s">
        <v>953</v>
      </c>
    </row>
    <row r="55" spans="1:11" ht="14.25" customHeight="1" x14ac:dyDescent="0.25">
      <c r="A55" s="75">
        <v>54</v>
      </c>
      <c r="B55" s="76">
        <v>46258</v>
      </c>
      <c r="C55" s="77" t="s">
        <v>938</v>
      </c>
      <c r="D55" s="77" t="s">
        <v>1201</v>
      </c>
      <c r="E55" s="77" t="s">
        <v>940</v>
      </c>
      <c r="F55" s="77" t="s">
        <v>989</v>
      </c>
      <c r="G55" s="77" t="s">
        <v>1202</v>
      </c>
      <c r="H55" s="77" t="s">
        <v>1203</v>
      </c>
      <c r="I55" s="77" t="s">
        <v>1204</v>
      </c>
      <c r="J55" s="77" t="s">
        <v>1205</v>
      </c>
      <c r="K55" s="77" t="s">
        <v>953</v>
      </c>
    </row>
    <row r="56" spans="1:11" ht="14.25" customHeight="1" x14ac:dyDescent="0.25">
      <c r="A56" s="75">
        <v>55</v>
      </c>
      <c r="B56" s="76">
        <v>46255</v>
      </c>
      <c r="C56" s="77" t="s">
        <v>938</v>
      </c>
      <c r="D56" s="77" t="s">
        <v>1206</v>
      </c>
      <c r="E56" s="77" t="s">
        <v>947</v>
      </c>
      <c r="F56" s="77" t="s">
        <v>972</v>
      </c>
      <c r="G56" s="77" t="s">
        <v>1207</v>
      </c>
      <c r="H56" s="77" t="s">
        <v>1208</v>
      </c>
      <c r="I56" s="77" t="s">
        <v>1209</v>
      </c>
      <c r="J56" s="77" t="s">
        <v>1210</v>
      </c>
      <c r="K56" s="77" t="s">
        <v>953</v>
      </c>
    </row>
    <row r="57" spans="1:11" ht="14.25" customHeight="1" x14ac:dyDescent="0.25">
      <c r="A57" s="75">
        <v>56</v>
      </c>
      <c r="B57" s="76">
        <v>46255</v>
      </c>
      <c r="C57" s="77" t="s">
        <v>938</v>
      </c>
      <c r="D57" s="77" t="s">
        <v>1211</v>
      </c>
      <c r="E57" s="77" t="s">
        <v>947</v>
      </c>
      <c r="F57" s="77" t="s">
        <v>1005</v>
      </c>
      <c r="G57" s="77" t="s">
        <v>1212</v>
      </c>
      <c r="H57" s="77" t="s">
        <v>1213</v>
      </c>
      <c r="I57" s="77" t="s">
        <v>1214</v>
      </c>
      <c r="J57" s="77" t="s">
        <v>1215</v>
      </c>
      <c r="K57" s="77" t="s">
        <v>647</v>
      </c>
    </row>
    <row r="58" spans="1:11" ht="14.25" customHeight="1" x14ac:dyDescent="0.25">
      <c r="A58" s="75">
        <v>57</v>
      </c>
      <c r="B58" s="76">
        <v>46254</v>
      </c>
      <c r="C58" s="77" t="s">
        <v>938</v>
      </c>
      <c r="D58" s="77" t="s">
        <v>1216</v>
      </c>
      <c r="E58" s="77" t="s">
        <v>947</v>
      </c>
      <c r="F58" s="77" t="s">
        <v>972</v>
      </c>
      <c r="G58" s="77" t="s">
        <v>1217</v>
      </c>
      <c r="H58" s="77" t="s">
        <v>1218</v>
      </c>
      <c r="I58" s="77" t="s">
        <v>1219</v>
      </c>
      <c r="J58" s="77" t="s">
        <v>1220</v>
      </c>
      <c r="K58" s="77" t="s">
        <v>953</v>
      </c>
    </row>
    <row r="59" spans="1:11" ht="14.25" customHeight="1" x14ac:dyDescent="0.25">
      <c r="A59" s="75">
        <v>58</v>
      </c>
      <c r="B59" s="76">
        <v>46254</v>
      </c>
      <c r="C59" s="77" t="s">
        <v>938</v>
      </c>
      <c r="D59" s="77" t="s">
        <v>1221</v>
      </c>
      <c r="E59" s="77" t="s">
        <v>955</v>
      </c>
      <c r="F59" s="77" t="s">
        <v>962</v>
      </c>
      <c r="G59" s="77" t="s">
        <v>1222</v>
      </c>
      <c r="H59" s="77" t="s">
        <v>1223</v>
      </c>
      <c r="I59" s="77" t="s">
        <v>944</v>
      </c>
      <c r="J59" s="77" t="s">
        <v>1224</v>
      </c>
      <c r="K59" s="77" t="s">
        <v>953</v>
      </c>
    </row>
    <row r="60" spans="1:11" ht="14.25" customHeight="1" x14ac:dyDescent="0.25">
      <c r="A60" s="75">
        <v>59</v>
      </c>
      <c r="B60" s="76">
        <v>46254</v>
      </c>
      <c r="C60" s="77" t="s">
        <v>938</v>
      </c>
      <c r="D60" s="77" t="s">
        <v>1225</v>
      </c>
      <c r="E60" s="77" t="s">
        <v>947</v>
      </c>
      <c r="F60" s="77" t="s">
        <v>999</v>
      </c>
      <c r="G60" s="77" t="s">
        <v>1226</v>
      </c>
      <c r="H60" s="77" t="s">
        <v>1227</v>
      </c>
      <c r="I60" s="77" t="s">
        <v>944</v>
      </c>
      <c r="J60" s="77" t="s">
        <v>1228</v>
      </c>
      <c r="K60" s="77" t="s">
        <v>953</v>
      </c>
    </row>
    <row r="61" spans="1:11" ht="14.25" customHeight="1" x14ac:dyDescent="0.25">
      <c r="A61" s="75">
        <v>60</v>
      </c>
      <c r="B61" s="76">
        <v>46254</v>
      </c>
      <c r="C61" s="77" t="s">
        <v>938</v>
      </c>
      <c r="D61" s="77" t="s">
        <v>1229</v>
      </c>
      <c r="E61" s="77" t="s">
        <v>955</v>
      </c>
      <c r="F61" s="77" t="s">
        <v>956</v>
      </c>
      <c r="G61" s="77" t="s">
        <v>1230</v>
      </c>
      <c r="H61" s="77" t="s">
        <v>1231</v>
      </c>
      <c r="I61" s="77" t="s">
        <v>944</v>
      </c>
      <c r="J61" s="77" t="s">
        <v>1232</v>
      </c>
      <c r="K61" s="77" t="s">
        <v>953</v>
      </c>
    </row>
    <row r="62" spans="1:11" ht="14.25" customHeight="1" x14ac:dyDescent="0.25">
      <c r="A62" s="75">
        <v>61</v>
      </c>
      <c r="B62" s="76">
        <v>46253</v>
      </c>
      <c r="C62" s="77" t="s">
        <v>938</v>
      </c>
      <c r="D62" s="77" t="s">
        <v>1233</v>
      </c>
      <c r="E62" s="77" t="s">
        <v>955</v>
      </c>
      <c r="F62" s="77" t="s">
        <v>1185</v>
      </c>
      <c r="G62" s="77" t="s">
        <v>1234</v>
      </c>
      <c r="H62" s="77" t="s">
        <v>1235</v>
      </c>
      <c r="I62" s="77" t="s">
        <v>944</v>
      </c>
      <c r="J62" s="77" t="s">
        <v>1236</v>
      </c>
      <c r="K62" s="77" t="s">
        <v>953</v>
      </c>
    </row>
    <row r="63" spans="1:11" ht="14.25" customHeight="1" x14ac:dyDescent="0.25">
      <c r="A63" s="75">
        <v>62</v>
      </c>
      <c r="B63" s="76">
        <v>46252</v>
      </c>
      <c r="C63" s="77" t="s">
        <v>938</v>
      </c>
      <c r="D63" s="77" t="s">
        <v>1237</v>
      </c>
      <c r="E63" s="77" t="s">
        <v>940</v>
      </c>
      <c r="F63" s="77" t="s">
        <v>989</v>
      </c>
      <c r="G63" s="77" t="s">
        <v>1238</v>
      </c>
      <c r="H63" s="77" t="s">
        <v>1239</v>
      </c>
      <c r="I63" s="77" t="s">
        <v>1240</v>
      </c>
      <c r="J63" s="77" t="s">
        <v>1241</v>
      </c>
      <c r="K63" s="77" t="s">
        <v>953</v>
      </c>
    </row>
    <row r="64" spans="1:11" ht="14.25" customHeight="1" x14ac:dyDescent="0.25">
      <c r="A64" s="75">
        <v>63</v>
      </c>
      <c r="B64" s="76">
        <v>46252</v>
      </c>
      <c r="C64" s="77" t="s">
        <v>938</v>
      </c>
      <c r="D64" s="77" t="s">
        <v>1242</v>
      </c>
      <c r="E64" s="77" t="s">
        <v>947</v>
      </c>
      <c r="F64" s="77" t="s">
        <v>1243</v>
      </c>
      <c r="G64" s="77" t="s">
        <v>1244</v>
      </c>
      <c r="H64" s="77" t="s">
        <v>1245</v>
      </c>
      <c r="I64" s="77" t="s">
        <v>1246</v>
      </c>
      <c r="J64" s="77" t="s">
        <v>1247</v>
      </c>
      <c r="K64" s="77" t="s">
        <v>953</v>
      </c>
    </row>
    <row r="65" spans="1:11" ht="14.25" customHeight="1" x14ac:dyDescent="0.25">
      <c r="A65" s="75">
        <v>64</v>
      </c>
      <c r="B65" s="76">
        <v>46250</v>
      </c>
      <c r="C65" s="77" t="s">
        <v>938</v>
      </c>
      <c r="D65" s="77" t="s">
        <v>1248</v>
      </c>
      <c r="E65" s="77" t="s">
        <v>940</v>
      </c>
      <c r="F65" s="77" t="s">
        <v>989</v>
      </c>
      <c r="G65" s="77" t="s">
        <v>1249</v>
      </c>
      <c r="H65" s="77" t="s">
        <v>1250</v>
      </c>
      <c r="I65" s="77" t="s">
        <v>1251</v>
      </c>
      <c r="J65" s="77" t="s">
        <v>1252</v>
      </c>
      <c r="K65" s="77" t="s">
        <v>953</v>
      </c>
    </row>
    <row r="66" spans="1:11" ht="14.25" customHeight="1" x14ac:dyDescent="0.25">
      <c r="A66" s="75">
        <v>65</v>
      </c>
      <c r="B66" s="76">
        <v>46250</v>
      </c>
      <c r="C66" s="77" t="s">
        <v>938</v>
      </c>
      <c r="D66" s="77" t="s">
        <v>339</v>
      </c>
      <c r="E66" s="77" t="s">
        <v>947</v>
      </c>
      <c r="F66" s="77" t="s">
        <v>948</v>
      </c>
      <c r="G66" s="77" t="s">
        <v>1253</v>
      </c>
      <c r="H66" s="77" t="s">
        <v>1254</v>
      </c>
      <c r="I66" s="77" t="s">
        <v>944</v>
      </c>
      <c r="J66" s="77" t="s">
        <v>1255</v>
      </c>
      <c r="K66" s="77" t="s">
        <v>647</v>
      </c>
    </row>
    <row r="67" spans="1:11" ht="14.25" customHeight="1" x14ac:dyDescent="0.25">
      <c r="A67" s="75">
        <v>66</v>
      </c>
      <c r="B67" s="76">
        <v>46250</v>
      </c>
      <c r="C67" s="77" t="s">
        <v>938</v>
      </c>
      <c r="D67" s="77" t="s">
        <v>1256</v>
      </c>
      <c r="E67" s="77" t="s">
        <v>947</v>
      </c>
      <c r="F67" s="77" t="s">
        <v>1243</v>
      </c>
      <c r="G67" s="77" t="s">
        <v>1257</v>
      </c>
      <c r="H67" s="77" t="s">
        <v>1258</v>
      </c>
      <c r="I67" s="77" t="s">
        <v>1259</v>
      </c>
      <c r="J67" s="77" t="s">
        <v>1260</v>
      </c>
      <c r="K67" s="77" t="s">
        <v>953</v>
      </c>
    </row>
    <row r="68" spans="1:11" ht="14.25" customHeight="1" x14ac:dyDescent="0.25">
      <c r="A68" s="75">
        <v>67</v>
      </c>
      <c r="B68" s="76">
        <v>46248</v>
      </c>
      <c r="C68" s="77" t="s">
        <v>938</v>
      </c>
      <c r="D68" s="77" t="s">
        <v>1261</v>
      </c>
      <c r="E68" s="77" t="s">
        <v>947</v>
      </c>
      <c r="F68" s="77" t="s">
        <v>1243</v>
      </c>
      <c r="G68" s="77" t="s">
        <v>1262</v>
      </c>
      <c r="H68" s="77" t="s">
        <v>1263</v>
      </c>
      <c r="I68" s="77" t="s">
        <v>951</v>
      </c>
      <c r="J68" s="77" t="s">
        <v>1264</v>
      </c>
      <c r="K68" s="77" t="s">
        <v>953</v>
      </c>
    </row>
    <row r="69" spans="1:11" ht="14.25" customHeight="1" x14ac:dyDescent="0.25">
      <c r="A69" s="75">
        <v>68</v>
      </c>
      <c r="B69" s="76">
        <v>46247</v>
      </c>
      <c r="C69" s="77" t="s">
        <v>938</v>
      </c>
      <c r="D69" s="77" t="s">
        <v>1265</v>
      </c>
      <c r="E69" s="77" t="s">
        <v>940</v>
      </c>
      <c r="F69" s="77" t="s">
        <v>989</v>
      </c>
      <c r="G69" s="77" t="s">
        <v>1266</v>
      </c>
      <c r="H69" s="77" t="s">
        <v>1267</v>
      </c>
      <c r="I69" s="77" t="s">
        <v>944</v>
      </c>
      <c r="J69" s="77" t="s">
        <v>1268</v>
      </c>
      <c r="K69" s="77" t="s">
        <v>953</v>
      </c>
    </row>
    <row r="70" spans="1:11" ht="14.25" customHeight="1" x14ac:dyDescent="0.25">
      <c r="A70" s="75">
        <v>69</v>
      </c>
      <c r="B70" s="76">
        <v>46247</v>
      </c>
      <c r="C70" s="77" t="s">
        <v>938</v>
      </c>
      <c r="D70" s="77" t="s">
        <v>954</v>
      </c>
      <c r="E70" s="77" t="s">
        <v>940</v>
      </c>
      <c r="F70" s="77" t="s">
        <v>1009</v>
      </c>
      <c r="G70" s="77" t="s">
        <v>1269</v>
      </c>
      <c r="H70" s="77" t="s">
        <v>1270</v>
      </c>
      <c r="I70" s="77" t="s">
        <v>1271</v>
      </c>
      <c r="J70" s="77" t="s">
        <v>1272</v>
      </c>
      <c r="K70" s="77" t="s">
        <v>953</v>
      </c>
    </row>
    <row r="71" spans="1:11" ht="14.25" customHeight="1" x14ac:dyDescent="0.25">
      <c r="A71" s="75">
        <v>70</v>
      </c>
      <c r="B71" s="76">
        <v>46247</v>
      </c>
      <c r="C71" s="77" t="s">
        <v>938</v>
      </c>
      <c r="D71" s="77" t="s">
        <v>1273</v>
      </c>
      <c r="E71" s="77" t="s">
        <v>947</v>
      </c>
      <c r="F71" s="77" t="s">
        <v>999</v>
      </c>
      <c r="G71" s="77" t="s">
        <v>1274</v>
      </c>
      <c r="H71" s="77" t="s">
        <v>1275</v>
      </c>
      <c r="I71" s="77" t="s">
        <v>1276</v>
      </c>
      <c r="J71" s="77" t="s">
        <v>1277</v>
      </c>
      <c r="K71" s="77" t="s">
        <v>953</v>
      </c>
    </row>
    <row r="72" spans="1:11" ht="14.25" customHeight="1" x14ac:dyDescent="0.25">
      <c r="A72" s="75">
        <v>71</v>
      </c>
      <c r="B72" s="76">
        <v>46247</v>
      </c>
      <c r="C72" s="77" t="s">
        <v>938</v>
      </c>
      <c r="D72" s="77" t="s">
        <v>1278</v>
      </c>
      <c r="E72" s="77" t="s">
        <v>940</v>
      </c>
      <c r="F72" s="77" t="s">
        <v>941</v>
      </c>
      <c r="G72" s="77" t="s">
        <v>1279</v>
      </c>
      <c r="H72" s="77" t="s">
        <v>1280</v>
      </c>
      <c r="I72" s="77" t="s">
        <v>1281</v>
      </c>
      <c r="J72" s="77" t="s">
        <v>1282</v>
      </c>
      <c r="K72" s="77" t="s">
        <v>953</v>
      </c>
    </row>
    <row r="73" spans="1:11" ht="14.25" customHeight="1" x14ac:dyDescent="0.25">
      <c r="A73" s="75">
        <v>72</v>
      </c>
      <c r="B73" s="76">
        <v>46247</v>
      </c>
      <c r="C73" s="77" t="s">
        <v>938</v>
      </c>
      <c r="D73" s="77" t="s">
        <v>1283</v>
      </c>
      <c r="E73" s="77" t="s">
        <v>947</v>
      </c>
      <c r="F73" s="77" t="s">
        <v>999</v>
      </c>
      <c r="G73" s="77" t="s">
        <v>1284</v>
      </c>
      <c r="H73" s="77" t="s">
        <v>1285</v>
      </c>
      <c r="I73" s="77" t="s">
        <v>944</v>
      </c>
      <c r="J73" s="77" t="s">
        <v>1286</v>
      </c>
      <c r="K73" s="77" t="s">
        <v>953</v>
      </c>
    </row>
    <row r="74" spans="1:11" ht="14.25" customHeight="1" x14ac:dyDescent="0.25">
      <c r="A74" s="75">
        <v>73</v>
      </c>
      <c r="B74" s="76">
        <v>46247</v>
      </c>
      <c r="C74" s="77" t="s">
        <v>938</v>
      </c>
      <c r="D74" s="77" t="s">
        <v>1287</v>
      </c>
      <c r="E74" s="77" t="s">
        <v>955</v>
      </c>
      <c r="F74" s="77" t="s">
        <v>962</v>
      </c>
      <c r="G74" s="77" t="s">
        <v>1288</v>
      </c>
      <c r="H74" s="77" t="s">
        <v>1289</v>
      </c>
      <c r="I74" s="77" t="s">
        <v>944</v>
      </c>
      <c r="J74" s="77" t="s">
        <v>1290</v>
      </c>
      <c r="K74" s="77" t="s">
        <v>953</v>
      </c>
    </row>
    <row r="75" spans="1:11" ht="14.25" customHeight="1" x14ac:dyDescent="0.25">
      <c r="A75" s="75">
        <v>74</v>
      </c>
      <c r="B75" s="76">
        <v>46247</v>
      </c>
      <c r="C75" s="77" t="s">
        <v>938</v>
      </c>
      <c r="D75" s="77" t="s">
        <v>1291</v>
      </c>
      <c r="E75" s="77" t="s">
        <v>947</v>
      </c>
      <c r="F75" s="77" t="s">
        <v>1292</v>
      </c>
      <c r="G75" s="77" t="s">
        <v>1293</v>
      </c>
      <c r="H75" s="77" t="s">
        <v>1294</v>
      </c>
      <c r="I75" s="77" t="s">
        <v>951</v>
      </c>
      <c r="J75" s="77" t="s">
        <v>1295</v>
      </c>
      <c r="K75" s="77" t="s">
        <v>953</v>
      </c>
    </row>
    <row r="76" spans="1:11" ht="14.25" customHeight="1" x14ac:dyDescent="0.25">
      <c r="A76" s="75">
        <v>75</v>
      </c>
      <c r="B76" s="76">
        <v>46247</v>
      </c>
      <c r="C76" s="77" t="s">
        <v>938</v>
      </c>
      <c r="D76" s="77" t="s">
        <v>1296</v>
      </c>
      <c r="E76" s="77" t="s">
        <v>947</v>
      </c>
      <c r="F76" s="77" t="s">
        <v>999</v>
      </c>
      <c r="G76" s="77" t="s">
        <v>1297</v>
      </c>
      <c r="H76" s="77" t="s">
        <v>1298</v>
      </c>
      <c r="I76" s="77" t="s">
        <v>1299</v>
      </c>
      <c r="J76" s="77" t="s">
        <v>1300</v>
      </c>
      <c r="K76" s="77" t="s">
        <v>953</v>
      </c>
    </row>
    <row r="77" spans="1:11" ht="14.25" customHeight="1" x14ac:dyDescent="0.25">
      <c r="A77" s="75">
        <v>76</v>
      </c>
      <c r="B77" s="76">
        <v>46247</v>
      </c>
      <c r="C77" s="77" t="s">
        <v>938</v>
      </c>
      <c r="D77" s="77" t="s">
        <v>1301</v>
      </c>
      <c r="E77" s="77" t="s">
        <v>955</v>
      </c>
      <c r="F77" s="77" t="s">
        <v>956</v>
      </c>
      <c r="G77" s="77" t="s">
        <v>1302</v>
      </c>
      <c r="H77" s="77" t="s">
        <v>1303</v>
      </c>
      <c r="I77" s="77" t="s">
        <v>951</v>
      </c>
      <c r="J77" s="77" t="s">
        <v>1304</v>
      </c>
      <c r="K77" s="77" t="s">
        <v>953</v>
      </c>
    </row>
    <row r="78" spans="1:11" ht="14.25" customHeight="1" x14ac:dyDescent="0.25">
      <c r="A78" s="75">
        <v>77</v>
      </c>
      <c r="B78" s="76">
        <v>46247</v>
      </c>
      <c r="C78" s="77" t="s">
        <v>938</v>
      </c>
      <c r="D78" s="77" t="s">
        <v>1305</v>
      </c>
      <c r="E78" s="77" t="s">
        <v>947</v>
      </c>
      <c r="F78" s="77" t="s">
        <v>948</v>
      </c>
      <c r="G78" s="77" t="s">
        <v>1306</v>
      </c>
      <c r="H78" s="77" t="s">
        <v>1307</v>
      </c>
      <c r="I78" s="77" t="s">
        <v>951</v>
      </c>
      <c r="J78" s="77" t="s">
        <v>1308</v>
      </c>
      <c r="K78" s="77" t="s">
        <v>953</v>
      </c>
    </row>
    <row r="79" spans="1:11" ht="14.25" customHeight="1" x14ac:dyDescent="0.25">
      <c r="A79" s="75">
        <v>78</v>
      </c>
      <c r="B79" s="76">
        <v>46217</v>
      </c>
      <c r="C79" s="77" t="s">
        <v>938</v>
      </c>
      <c r="D79" s="77" t="s">
        <v>339</v>
      </c>
      <c r="E79" s="77" t="s">
        <v>947</v>
      </c>
      <c r="F79" s="77" t="s">
        <v>948</v>
      </c>
      <c r="G79" s="77" t="s">
        <v>1309</v>
      </c>
      <c r="H79" s="77" t="s">
        <v>1310</v>
      </c>
      <c r="I79" s="77" t="s">
        <v>1311</v>
      </c>
      <c r="J79" s="77" t="s">
        <v>1312</v>
      </c>
      <c r="K79" s="77" t="s">
        <v>647</v>
      </c>
    </row>
    <row r="80" spans="1:11" ht="14.25" customHeight="1" x14ac:dyDescent="0.25">
      <c r="A80" s="75">
        <v>79</v>
      </c>
      <c r="B80" s="76">
        <v>46206</v>
      </c>
      <c r="C80" s="77" t="s">
        <v>938</v>
      </c>
      <c r="D80" s="77" t="s">
        <v>1313</v>
      </c>
      <c r="E80" s="77" t="s">
        <v>955</v>
      </c>
      <c r="F80" s="77" t="s">
        <v>962</v>
      </c>
      <c r="G80" s="77" t="s">
        <v>1314</v>
      </c>
      <c r="H80" s="77" t="s">
        <v>1315</v>
      </c>
      <c r="I80" s="77" t="s">
        <v>1316</v>
      </c>
      <c r="J80" s="77" t="s">
        <v>1317</v>
      </c>
      <c r="K80" s="77" t="s">
        <v>953</v>
      </c>
    </row>
    <row r="81" spans="1:11" ht="14.25" customHeight="1" x14ac:dyDescent="0.25">
      <c r="A81" s="75">
        <v>80</v>
      </c>
      <c r="B81" s="76">
        <v>46198</v>
      </c>
      <c r="C81" s="77" t="s">
        <v>987</v>
      </c>
      <c r="D81" s="77" t="s">
        <v>1318</v>
      </c>
      <c r="E81" s="77" t="s">
        <v>947</v>
      </c>
      <c r="F81" s="77" t="s">
        <v>999</v>
      </c>
      <c r="G81" s="77" t="s">
        <v>1319</v>
      </c>
      <c r="H81" s="77" t="s">
        <v>1320</v>
      </c>
      <c r="I81" s="77" t="s">
        <v>1321</v>
      </c>
      <c r="J81" s="77" t="s">
        <v>1322</v>
      </c>
      <c r="K81" s="77" t="s">
        <v>632</v>
      </c>
    </row>
    <row r="82" spans="1:11" ht="14.25" customHeight="1" x14ac:dyDescent="0.25">
      <c r="A82" s="75">
        <v>81</v>
      </c>
      <c r="B82" s="76">
        <v>46197</v>
      </c>
      <c r="C82" s="77" t="s">
        <v>938</v>
      </c>
      <c r="D82" s="77" t="s">
        <v>1323</v>
      </c>
      <c r="E82" s="77" t="s">
        <v>947</v>
      </c>
      <c r="F82" s="77" t="s">
        <v>1005</v>
      </c>
      <c r="G82" s="77" t="s">
        <v>1324</v>
      </c>
      <c r="H82" s="77" t="s">
        <v>1325</v>
      </c>
      <c r="I82" s="77" t="s">
        <v>944</v>
      </c>
      <c r="J82" s="77" t="s">
        <v>1326</v>
      </c>
      <c r="K82" s="77" t="s">
        <v>647</v>
      </c>
    </row>
    <row r="83" spans="1:11" ht="14.25" customHeight="1" x14ac:dyDescent="0.25">
      <c r="A83" s="75">
        <v>82</v>
      </c>
      <c r="B83" s="76">
        <v>46196</v>
      </c>
      <c r="C83" s="77" t="s">
        <v>938</v>
      </c>
      <c r="D83" s="77" t="s">
        <v>1327</v>
      </c>
      <c r="E83" s="77" t="s">
        <v>940</v>
      </c>
      <c r="F83" s="77" t="s">
        <v>941</v>
      </c>
      <c r="G83" s="77" t="s">
        <v>1328</v>
      </c>
      <c r="H83" s="77" t="s">
        <v>1329</v>
      </c>
      <c r="I83" s="77" t="s">
        <v>1330</v>
      </c>
      <c r="J83" s="77" t="s">
        <v>1331</v>
      </c>
      <c r="K83" s="77" t="s">
        <v>953</v>
      </c>
    </row>
    <row r="84" spans="1:11" ht="14.25" customHeight="1" x14ac:dyDescent="0.25">
      <c r="A84" s="75">
        <v>83</v>
      </c>
      <c r="B84" s="76">
        <v>46189</v>
      </c>
      <c r="C84" s="77" t="s">
        <v>938</v>
      </c>
      <c r="D84" s="77" t="s">
        <v>1332</v>
      </c>
      <c r="E84" s="77" t="s">
        <v>955</v>
      </c>
      <c r="F84" s="77" t="s">
        <v>956</v>
      </c>
      <c r="G84" s="77" t="s">
        <v>1333</v>
      </c>
      <c r="H84" s="77" t="s">
        <v>1334</v>
      </c>
      <c r="I84" s="77" t="s">
        <v>1332</v>
      </c>
      <c r="J84" s="77" t="s">
        <v>1335</v>
      </c>
      <c r="K84" s="77" t="s">
        <v>647</v>
      </c>
    </row>
    <row r="85" spans="1:11" ht="14.25" customHeight="1" x14ac:dyDescent="0.25">
      <c r="A85" s="75">
        <v>84</v>
      </c>
      <c r="B85" s="76">
        <v>46149</v>
      </c>
      <c r="C85" s="77" t="s">
        <v>938</v>
      </c>
      <c r="D85" s="77" t="s">
        <v>1336</v>
      </c>
      <c r="E85" s="77" t="s">
        <v>947</v>
      </c>
      <c r="F85" s="77" t="s">
        <v>1005</v>
      </c>
      <c r="G85" s="77" t="s">
        <v>1337</v>
      </c>
      <c r="H85" s="77" t="s">
        <v>1338</v>
      </c>
      <c r="I85" s="77" t="s">
        <v>1339</v>
      </c>
      <c r="J85" s="77" t="s">
        <v>1340</v>
      </c>
      <c r="K85" s="77" t="s">
        <v>647</v>
      </c>
    </row>
    <row r="86" spans="1:11" ht="14.25" customHeight="1" x14ac:dyDescent="0.25">
      <c r="A86" s="75">
        <v>85</v>
      </c>
      <c r="B86" s="76">
        <v>46132</v>
      </c>
      <c r="C86" s="77" t="s">
        <v>938</v>
      </c>
      <c r="D86" s="77" t="s">
        <v>1341</v>
      </c>
      <c r="E86" s="77" t="s">
        <v>947</v>
      </c>
      <c r="F86" s="77" t="s">
        <v>948</v>
      </c>
      <c r="G86" s="77" t="s">
        <v>1342</v>
      </c>
      <c r="H86" s="77" t="s">
        <v>1343</v>
      </c>
      <c r="I86" s="77" t="s">
        <v>1344</v>
      </c>
      <c r="J86" s="77" t="s">
        <v>1345</v>
      </c>
      <c r="K86" s="77" t="s">
        <v>647</v>
      </c>
    </row>
    <row r="87" spans="1:11" ht="14.25" customHeight="1" x14ac:dyDescent="0.25">
      <c r="A87" s="75">
        <v>86</v>
      </c>
      <c r="B87" s="76">
        <v>46130</v>
      </c>
      <c r="C87" s="77" t="s">
        <v>1346</v>
      </c>
      <c r="D87" s="77" t="s">
        <v>1347</v>
      </c>
      <c r="E87" s="77" t="s">
        <v>947</v>
      </c>
      <c r="F87" s="77" t="s">
        <v>972</v>
      </c>
      <c r="G87" s="77" t="s">
        <v>1348</v>
      </c>
      <c r="H87" s="77" t="s">
        <v>1349</v>
      </c>
      <c r="I87" s="77" t="s">
        <v>1350</v>
      </c>
      <c r="J87" s="77" t="s">
        <v>1351</v>
      </c>
      <c r="K87" s="77" t="s">
        <v>632</v>
      </c>
    </row>
    <row r="88" spans="1:11" ht="14.25" customHeight="1" x14ac:dyDescent="0.25">
      <c r="A88" s="75">
        <v>87</v>
      </c>
      <c r="B88" s="76">
        <v>46126</v>
      </c>
      <c r="C88" s="77" t="s">
        <v>938</v>
      </c>
      <c r="D88" s="77" t="s">
        <v>1352</v>
      </c>
      <c r="E88" s="77" t="s">
        <v>947</v>
      </c>
      <c r="F88" s="77" t="s">
        <v>948</v>
      </c>
      <c r="G88" s="77" t="s">
        <v>1353</v>
      </c>
      <c r="H88" s="77" t="s">
        <v>1354</v>
      </c>
      <c r="I88" s="77" t="s">
        <v>1355</v>
      </c>
      <c r="J88" s="77" t="s">
        <v>1356</v>
      </c>
      <c r="K88" s="77" t="s">
        <v>953</v>
      </c>
    </row>
    <row r="89" spans="1:11" ht="14.25" customHeight="1" x14ac:dyDescent="0.25">
      <c r="A89" s="75">
        <v>88</v>
      </c>
      <c r="B89" s="76">
        <v>46100</v>
      </c>
      <c r="C89" s="77" t="s">
        <v>938</v>
      </c>
      <c r="D89" s="77" t="s">
        <v>1327</v>
      </c>
      <c r="E89" s="77" t="s">
        <v>940</v>
      </c>
      <c r="F89" s="77" t="s">
        <v>941</v>
      </c>
      <c r="G89" s="77" t="s">
        <v>1357</v>
      </c>
      <c r="H89" s="77" t="s">
        <v>1358</v>
      </c>
      <c r="I89" s="77" t="s">
        <v>1359</v>
      </c>
      <c r="J89" s="77" t="s">
        <v>1360</v>
      </c>
      <c r="K89" s="77" t="s">
        <v>647</v>
      </c>
    </row>
    <row r="90" spans="1:11" ht="14.25" customHeight="1" x14ac:dyDescent="0.25">
      <c r="A90" s="75">
        <v>89</v>
      </c>
      <c r="B90" s="76">
        <v>46052</v>
      </c>
      <c r="C90" s="77" t="s">
        <v>938</v>
      </c>
      <c r="D90" s="77" t="s">
        <v>1361</v>
      </c>
      <c r="E90" s="77" t="s">
        <v>947</v>
      </c>
      <c r="F90" s="77" t="s">
        <v>948</v>
      </c>
      <c r="G90" s="77" t="s">
        <v>1362</v>
      </c>
      <c r="H90" s="77" t="s">
        <v>1363</v>
      </c>
      <c r="I90" s="77" t="s">
        <v>1364</v>
      </c>
      <c r="J90" s="77" t="s">
        <v>1365</v>
      </c>
      <c r="K90" s="77" t="s">
        <v>647</v>
      </c>
    </row>
    <row r="91" spans="1:11" ht="14.25" customHeight="1" x14ac:dyDescent="0.25">
      <c r="A91" s="75">
        <v>90</v>
      </c>
      <c r="B91" s="76">
        <v>46035</v>
      </c>
      <c r="C91" s="77" t="s">
        <v>938</v>
      </c>
      <c r="D91" s="77" t="s">
        <v>1366</v>
      </c>
      <c r="E91" s="77" t="s">
        <v>1367</v>
      </c>
      <c r="F91" s="77" t="s">
        <v>1063</v>
      </c>
      <c r="G91" s="77" t="s">
        <v>1368</v>
      </c>
      <c r="H91" s="77" t="s">
        <v>1369</v>
      </c>
      <c r="I91" s="77" t="s">
        <v>1370</v>
      </c>
      <c r="J91" s="77" t="s">
        <v>1371</v>
      </c>
      <c r="K91" s="77" t="s">
        <v>953</v>
      </c>
    </row>
    <row r="92" spans="1:11" ht="14.25" customHeight="1" x14ac:dyDescent="0.25">
      <c r="A92" s="75">
        <v>91</v>
      </c>
      <c r="B92" s="76">
        <v>45896</v>
      </c>
      <c r="C92" s="77" t="s">
        <v>938</v>
      </c>
      <c r="D92" s="77" t="s">
        <v>1372</v>
      </c>
      <c r="E92" s="77" t="s">
        <v>947</v>
      </c>
      <c r="F92" s="77" t="s">
        <v>972</v>
      </c>
      <c r="G92" s="77" t="s">
        <v>1373</v>
      </c>
      <c r="H92" s="77" t="s">
        <v>1374</v>
      </c>
      <c r="I92" s="77" t="s">
        <v>944</v>
      </c>
      <c r="J92" s="77" t="s">
        <v>1375</v>
      </c>
      <c r="K92" s="77" t="s">
        <v>647</v>
      </c>
    </row>
    <row r="93" spans="1:11" ht="14.25" customHeight="1" x14ac:dyDescent="0.25">
      <c r="A93" s="75">
        <v>92</v>
      </c>
      <c r="B93" s="76">
        <v>45827</v>
      </c>
      <c r="C93" s="77" t="s">
        <v>938</v>
      </c>
      <c r="D93" s="77" t="s">
        <v>1376</v>
      </c>
      <c r="E93" s="77" t="s">
        <v>955</v>
      </c>
      <c r="F93" s="77" t="s">
        <v>962</v>
      </c>
      <c r="G93" s="77" t="s">
        <v>1377</v>
      </c>
      <c r="H93" s="77" t="s">
        <v>1378</v>
      </c>
      <c r="I93" s="77" t="s">
        <v>1379</v>
      </c>
      <c r="J93" s="77" t="s">
        <v>1380</v>
      </c>
      <c r="K93" s="77" t="s">
        <v>647</v>
      </c>
    </row>
    <row r="94" spans="1:11" ht="14.25" customHeight="1" x14ac:dyDescent="0.25">
      <c r="A94" s="75">
        <v>93</v>
      </c>
      <c r="B94" s="76"/>
      <c r="C94" s="77" t="s">
        <v>772</v>
      </c>
      <c r="D94" s="77" t="s">
        <v>773</v>
      </c>
      <c r="E94" s="77" t="s">
        <v>775</v>
      </c>
      <c r="F94" s="77" t="s">
        <v>932</v>
      </c>
      <c r="G94" s="77" t="s">
        <v>933</v>
      </c>
      <c r="H94" s="77" t="s">
        <v>934</v>
      </c>
      <c r="I94" s="77" t="s">
        <v>935</v>
      </c>
      <c r="J94" s="77" t="s">
        <v>936</v>
      </c>
      <c r="K94" s="77" t="s">
        <v>632</v>
      </c>
    </row>
    <row r="95" spans="1:11" ht="14.25" customHeight="1" x14ac:dyDescent="0.25">
      <c r="A95" s="75">
        <v>94</v>
      </c>
      <c r="B95" s="76"/>
      <c r="C95" s="77" t="s">
        <v>1175</v>
      </c>
      <c r="D95" s="77" t="s">
        <v>1176</v>
      </c>
      <c r="E95" s="77" t="s">
        <v>947</v>
      </c>
      <c r="F95" s="77" t="s">
        <v>948</v>
      </c>
      <c r="G95" s="77" t="s">
        <v>1381</v>
      </c>
      <c r="H95" s="77" t="s">
        <v>1382</v>
      </c>
      <c r="I95" s="77" t="s">
        <v>944</v>
      </c>
      <c r="J95" s="77" t="s">
        <v>1383</v>
      </c>
      <c r="K95" s="77" t="s">
        <v>632</v>
      </c>
    </row>
    <row r="96" spans="1:11" ht="14.25" customHeight="1" x14ac:dyDescent="0.25">
      <c r="A96" s="75">
        <v>95</v>
      </c>
      <c r="B96" s="76"/>
      <c r="C96" s="77" t="s">
        <v>938</v>
      </c>
      <c r="D96" s="77" t="s">
        <v>1030</v>
      </c>
      <c r="E96" s="77" t="s">
        <v>955</v>
      </c>
      <c r="F96" s="77" t="s">
        <v>962</v>
      </c>
      <c r="G96" s="77" t="s">
        <v>1384</v>
      </c>
      <c r="H96" s="77" t="s">
        <v>1385</v>
      </c>
      <c r="I96" s="77" t="s">
        <v>1246</v>
      </c>
      <c r="J96" s="77" t="s">
        <v>1386</v>
      </c>
      <c r="K96" s="77" t="s">
        <v>647</v>
      </c>
    </row>
    <row r="97" spans="1:11" ht="14.25" customHeight="1" x14ac:dyDescent="0.25">
      <c r="A97" s="75">
        <v>96</v>
      </c>
      <c r="B97" s="76"/>
      <c r="C97" s="77" t="s">
        <v>938</v>
      </c>
      <c r="D97" s="77" t="s">
        <v>1387</v>
      </c>
      <c r="E97" s="77" t="s">
        <v>955</v>
      </c>
      <c r="F97" s="77" t="s">
        <v>962</v>
      </c>
      <c r="G97" s="77" t="s">
        <v>1388</v>
      </c>
      <c r="H97" s="77" t="s">
        <v>1389</v>
      </c>
      <c r="I97" s="77" t="s">
        <v>1390</v>
      </c>
      <c r="J97" s="77" t="s">
        <v>1391</v>
      </c>
      <c r="K97" s="77" t="s">
        <v>647</v>
      </c>
    </row>
    <row r="98" spans="1:11" ht="14.25" customHeight="1" x14ac:dyDescent="0.25">
      <c r="A98" s="75">
        <v>97</v>
      </c>
      <c r="B98" s="76"/>
      <c r="C98" s="77" t="s">
        <v>938</v>
      </c>
      <c r="D98" s="77" t="s">
        <v>1376</v>
      </c>
      <c r="E98" s="77" t="s">
        <v>955</v>
      </c>
      <c r="F98" s="77" t="s">
        <v>962</v>
      </c>
      <c r="G98" s="77" t="s">
        <v>1392</v>
      </c>
      <c r="H98" s="77" t="s">
        <v>1393</v>
      </c>
      <c r="I98" s="77" t="s">
        <v>1394</v>
      </c>
      <c r="J98" s="77" t="s">
        <v>1395</v>
      </c>
      <c r="K98" s="77" t="s">
        <v>953</v>
      </c>
    </row>
    <row r="99" spans="1:11" ht="14.25" customHeight="1" x14ac:dyDescent="0.25">
      <c r="A99" s="75">
        <v>98</v>
      </c>
      <c r="B99" s="76"/>
      <c r="C99" s="77" t="s">
        <v>987</v>
      </c>
      <c r="D99" s="77" t="s">
        <v>1396</v>
      </c>
      <c r="E99" s="77" t="s">
        <v>947</v>
      </c>
      <c r="F99" s="77" t="s">
        <v>999</v>
      </c>
      <c r="G99" s="77" t="s">
        <v>1397</v>
      </c>
      <c r="H99" s="77" t="s">
        <v>1398</v>
      </c>
      <c r="I99" s="77" t="s">
        <v>1399</v>
      </c>
      <c r="J99" s="77" t="s">
        <v>1400</v>
      </c>
      <c r="K99" s="77" t="s">
        <v>632</v>
      </c>
    </row>
    <row r="100" spans="1:11" ht="14.25" customHeight="1" x14ac:dyDescent="0.25">
      <c r="A100" s="75">
        <v>99</v>
      </c>
      <c r="B100" s="76"/>
      <c r="C100" s="77" t="s">
        <v>987</v>
      </c>
      <c r="D100" s="77" t="s">
        <v>1401</v>
      </c>
      <c r="E100" s="77" t="s">
        <v>940</v>
      </c>
      <c r="F100" s="77" t="s">
        <v>1009</v>
      </c>
      <c r="G100" s="77" t="s">
        <v>1402</v>
      </c>
      <c r="H100" s="77" t="s">
        <v>1403</v>
      </c>
      <c r="I100" s="77" t="s">
        <v>1404</v>
      </c>
      <c r="J100" s="77" t="s">
        <v>1405</v>
      </c>
      <c r="K100" s="77" t="s">
        <v>632</v>
      </c>
    </row>
    <row r="101" spans="1:11" ht="14.25" customHeight="1" x14ac:dyDescent="0.25">
      <c r="A101" s="75">
        <v>100</v>
      </c>
      <c r="B101" s="76"/>
      <c r="C101" s="77" t="s">
        <v>1406</v>
      </c>
      <c r="D101" s="77" t="s">
        <v>1407</v>
      </c>
      <c r="E101" s="77" t="s">
        <v>947</v>
      </c>
      <c r="F101" s="77" t="s">
        <v>1107</v>
      </c>
      <c r="G101" s="77" t="s">
        <v>1408</v>
      </c>
      <c r="H101" s="77" t="s">
        <v>1409</v>
      </c>
      <c r="I101" s="77" t="s">
        <v>1410</v>
      </c>
      <c r="J101" s="77" t="s">
        <v>1411</v>
      </c>
      <c r="K101" s="77" t="s">
        <v>632</v>
      </c>
    </row>
    <row r="102" spans="1:11" ht="14.25" customHeight="1" x14ac:dyDescent="0.25">
      <c r="A102" s="75">
        <v>101</v>
      </c>
      <c r="B102" s="76"/>
      <c r="C102" s="77" t="s">
        <v>987</v>
      </c>
      <c r="D102" s="77" t="s">
        <v>1412</v>
      </c>
      <c r="E102" s="77" t="s">
        <v>947</v>
      </c>
      <c r="F102" s="77" t="s">
        <v>999</v>
      </c>
      <c r="G102" s="77" t="s">
        <v>1413</v>
      </c>
      <c r="H102" s="77" t="s">
        <v>1414</v>
      </c>
      <c r="I102" s="77" t="s">
        <v>1415</v>
      </c>
      <c r="J102" s="77" t="s">
        <v>1416</v>
      </c>
      <c r="K102" s="77" t="s">
        <v>632</v>
      </c>
    </row>
    <row r="103" spans="1:11" ht="14.25" customHeight="1" x14ac:dyDescent="0.25">
      <c r="A103" s="75">
        <v>102</v>
      </c>
      <c r="B103" s="76"/>
      <c r="C103" s="77" t="s">
        <v>1417</v>
      </c>
      <c r="D103" s="77" t="s">
        <v>1418</v>
      </c>
      <c r="E103" s="77" t="s">
        <v>947</v>
      </c>
      <c r="F103" s="77" t="s">
        <v>999</v>
      </c>
      <c r="G103" s="77" t="s">
        <v>1419</v>
      </c>
      <c r="H103" s="77" t="s">
        <v>1420</v>
      </c>
      <c r="I103" s="77" t="s">
        <v>1421</v>
      </c>
      <c r="J103" s="77" t="s">
        <v>1422</v>
      </c>
      <c r="K103" s="77" t="s">
        <v>632</v>
      </c>
    </row>
    <row r="104" spans="1:11" ht="14.25" customHeight="1" x14ac:dyDescent="0.25">
      <c r="A104" s="75">
        <v>103</v>
      </c>
      <c r="B104" s="76"/>
      <c r="C104" s="77" t="s">
        <v>987</v>
      </c>
      <c r="D104" s="77" t="s">
        <v>1423</v>
      </c>
      <c r="E104" s="77" t="s">
        <v>947</v>
      </c>
      <c r="F104" s="77" t="s">
        <v>999</v>
      </c>
      <c r="G104" s="77" t="s">
        <v>1424</v>
      </c>
      <c r="H104" s="77" t="s">
        <v>1425</v>
      </c>
      <c r="I104" s="77" t="s">
        <v>1094</v>
      </c>
      <c r="J104" s="77" t="s">
        <v>1426</v>
      </c>
      <c r="K104" s="77" t="s">
        <v>632</v>
      </c>
    </row>
    <row r="105" spans="1:11" ht="14.25" customHeight="1" x14ac:dyDescent="0.25">
      <c r="A105" s="75">
        <v>104</v>
      </c>
      <c r="B105" s="76"/>
      <c r="C105" s="77" t="s">
        <v>1427</v>
      </c>
      <c r="D105" s="77" t="s">
        <v>1428</v>
      </c>
      <c r="E105" s="77" t="s">
        <v>947</v>
      </c>
      <c r="F105" s="77" t="s">
        <v>999</v>
      </c>
      <c r="G105" s="77" t="s">
        <v>1429</v>
      </c>
      <c r="H105" s="77" t="s">
        <v>1430</v>
      </c>
      <c r="I105" s="77" t="s">
        <v>1431</v>
      </c>
      <c r="J105" s="77" t="s">
        <v>1432</v>
      </c>
      <c r="K105" s="77" t="s">
        <v>632</v>
      </c>
    </row>
    <row r="106" spans="1:11" ht="14.25" customHeight="1" x14ac:dyDescent="0.25">
      <c r="A106" s="75">
        <v>105</v>
      </c>
      <c r="B106" s="76"/>
      <c r="C106" s="77" t="s">
        <v>1433</v>
      </c>
      <c r="D106" s="77" t="s">
        <v>1434</v>
      </c>
      <c r="E106" s="77" t="s">
        <v>947</v>
      </c>
      <c r="F106" s="77" t="s">
        <v>999</v>
      </c>
      <c r="G106" s="77" t="s">
        <v>1435</v>
      </c>
      <c r="H106" s="77" t="s">
        <v>1436</v>
      </c>
      <c r="I106" s="77" t="s">
        <v>1437</v>
      </c>
      <c r="J106" s="77" t="s">
        <v>1438</v>
      </c>
      <c r="K106" s="77" t="s">
        <v>632</v>
      </c>
    </row>
    <row r="107" spans="1:11" ht="14.25" customHeight="1" x14ac:dyDescent="0.25">
      <c r="A107" s="75">
        <v>106</v>
      </c>
      <c r="B107" s="76"/>
      <c r="C107" s="77" t="s">
        <v>1439</v>
      </c>
      <c r="D107" s="77" t="s">
        <v>1440</v>
      </c>
      <c r="E107" s="77" t="s">
        <v>940</v>
      </c>
      <c r="F107" s="77" t="s">
        <v>941</v>
      </c>
      <c r="G107" s="77" t="s">
        <v>1441</v>
      </c>
      <c r="H107" s="77" t="s">
        <v>1442</v>
      </c>
      <c r="I107" s="77" t="s">
        <v>1443</v>
      </c>
      <c r="J107" s="77" t="s">
        <v>1444</v>
      </c>
      <c r="K107" s="77" t="s">
        <v>632</v>
      </c>
    </row>
    <row r="108" spans="1:11" ht="14.25" customHeight="1" x14ac:dyDescent="0.25">
      <c r="A108" s="75">
        <v>107</v>
      </c>
      <c r="B108" s="76"/>
      <c r="C108" s="77" t="s">
        <v>1433</v>
      </c>
      <c r="D108" s="77" t="s">
        <v>1445</v>
      </c>
      <c r="E108" s="77" t="s">
        <v>947</v>
      </c>
      <c r="F108" s="77" t="s">
        <v>1107</v>
      </c>
      <c r="G108" s="77" t="s">
        <v>1446</v>
      </c>
      <c r="H108" s="77" t="s">
        <v>1447</v>
      </c>
      <c r="I108" s="77" t="s">
        <v>1448</v>
      </c>
      <c r="J108" s="77" t="s">
        <v>1449</v>
      </c>
      <c r="K108" s="77" t="s">
        <v>632</v>
      </c>
    </row>
    <row r="109" spans="1:11" ht="14.25" customHeight="1" x14ac:dyDescent="0.25">
      <c r="A109" s="75">
        <v>108</v>
      </c>
      <c r="B109" s="76"/>
      <c r="C109" s="77" t="s">
        <v>987</v>
      </c>
      <c r="D109" s="77" t="s">
        <v>1450</v>
      </c>
      <c r="E109" s="77" t="s">
        <v>955</v>
      </c>
      <c r="F109" s="77" t="s">
        <v>956</v>
      </c>
      <c r="G109" s="77" t="s">
        <v>1451</v>
      </c>
      <c r="H109" s="77" t="s">
        <v>1452</v>
      </c>
      <c r="I109" s="77" t="s">
        <v>1453</v>
      </c>
      <c r="J109" s="77" t="s">
        <v>1454</v>
      </c>
      <c r="K109" s="77" t="s">
        <v>632</v>
      </c>
    </row>
    <row r="110" spans="1:11" ht="14.25" customHeight="1" x14ac:dyDescent="0.25">
      <c r="A110" s="75">
        <v>109</v>
      </c>
      <c r="B110" s="76"/>
      <c r="C110" s="77" t="s">
        <v>1433</v>
      </c>
      <c r="D110" s="77" t="s">
        <v>1455</v>
      </c>
      <c r="E110" s="77" t="s">
        <v>947</v>
      </c>
      <c r="F110" s="77" t="s">
        <v>999</v>
      </c>
      <c r="G110" s="77" t="s">
        <v>1456</v>
      </c>
      <c r="H110" s="77" t="s">
        <v>1457</v>
      </c>
      <c r="I110" s="77" t="s">
        <v>1458</v>
      </c>
      <c r="J110" s="77" t="s">
        <v>1459</v>
      </c>
      <c r="K110" s="77" t="s">
        <v>632</v>
      </c>
    </row>
    <row r="111" spans="1:11" ht="14.25" customHeight="1" x14ac:dyDescent="0.25">
      <c r="A111" s="75">
        <v>110</v>
      </c>
      <c r="B111" s="76"/>
      <c r="C111" s="77" t="s">
        <v>1427</v>
      </c>
      <c r="D111" s="77" t="s">
        <v>1460</v>
      </c>
      <c r="E111" s="77" t="s">
        <v>947</v>
      </c>
      <c r="F111" s="77" t="s">
        <v>1107</v>
      </c>
      <c r="G111" s="77" t="s">
        <v>1461</v>
      </c>
      <c r="H111" s="77" t="s">
        <v>1462</v>
      </c>
      <c r="I111" s="77" t="s">
        <v>1463</v>
      </c>
      <c r="J111" s="77" t="s">
        <v>1464</v>
      </c>
      <c r="K111" s="77" t="s">
        <v>632</v>
      </c>
    </row>
    <row r="112" spans="1:11" ht="14.25" customHeight="1" x14ac:dyDescent="0.25">
      <c r="A112" s="75">
        <v>111</v>
      </c>
      <c r="B112" s="76"/>
      <c r="C112" s="77" t="s">
        <v>1439</v>
      </c>
      <c r="D112" s="77" t="s">
        <v>1465</v>
      </c>
      <c r="E112" s="77" t="s">
        <v>940</v>
      </c>
      <c r="F112" s="77" t="s">
        <v>941</v>
      </c>
      <c r="G112" s="77" t="s">
        <v>1466</v>
      </c>
      <c r="H112" s="77" t="s">
        <v>1467</v>
      </c>
      <c r="I112" s="77" t="s">
        <v>1443</v>
      </c>
      <c r="J112" s="77" t="s">
        <v>1468</v>
      </c>
      <c r="K112" s="77" t="s">
        <v>632</v>
      </c>
    </row>
    <row r="113" spans="1:11" ht="14.25" customHeight="1" x14ac:dyDescent="0.25">
      <c r="A113" s="75">
        <v>112</v>
      </c>
      <c r="B113" s="76"/>
      <c r="C113" s="77" t="s">
        <v>1427</v>
      </c>
      <c r="D113" s="77" t="s">
        <v>1469</v>
      </c>
      <c r="E113" s="77" t="s">
        <v>955</v>
      </c>
      <c r="F113" s="77" t="s">
        <v>956</v>
      </c>
      <c r="G113" s="77" t="s">
        <v>1470</v>
      </c>
      <c r="H113" s="77" t="s">
        <v>1471</v>
      </c>
      <c r="I113" s="77" t="s">
        <v>1472</v>
      </c>
      <c r="J113" s="77" t="s">
        <v>1473</v>
      </c>
      <c r="K113" s="77" t="s">
        <v>632</v>
      </c>
    </row>
    <row r="114" spans="1:11" ht="14.25" customHeight="1" x14ac:dyDescent="0.25">
      <c r="A114" s="75">
        <v>113</v>
      </c>
      <c r="B114" s="76"/>
      <c r="C114" s="77" t="s">
        <v>987</v>
      </c>
      <c r="D114" s="77" t="s">
        <v>1474</v>
      </c>
      <c r="E114" s="77" t="s">
        <v>947</v>
      </c>
      <c r="F114" s="77" t="s">
        <v>1132</v>
      </c>
      <c r="G114" s="77" t="s">
        <v>1475</v>
      </c>
      <c r="H114" s="77" t="s">
        <v>1476</v>
      </c>
      <c r="I114" s="77" t="s">
        <v>1477</v>
      </c>
      <c r="J114" s="77" t="s">
        <v>1478</v>
      </c>
      <c r="K114" s="77" t="s">
        <v>632</v>
      </c>
    </row>
    <row r="115" spans="1:11" ht="14.25" customHeight="1" x14ac:dyDescent="0.25">
      <c r="A115" s="75">
        <v>114</v>
      </c>
      <c r="B115" s="76"/>
      <c r="C115" s="77" t="s">
        <v>1427</v>
      </c>
      <c r="D115" s="77" t="s">
        <v>1479</v>
      </c>
      <c r="E115" s="77" t="s">
        <v>947</v>
      </c>
      <c r="F115" s="77" t="s">
        <v>972</v>
      </c>
      <c r="G115" s="77" t="s">
        <v>1480</v>
      </c>
      <c r="H115" s="77" t="s">
        <v>1481</v>
      </c>
      <c r="I115" s="77" t="s">
        <v>1482</v>
      </c>
      <c r="J115" s="77" t="s">
        <v>1483</v>
      </c>
      <c r="K115" s="77" t="s">
        <v>632</v>
      </c>
    </row>
    <row r="116" spans="1:11" ht="14.25" customHeight="1" x14ac:dyDescent="0.25">
      <c r="A116" s="75">
        <v>115</v>
      </c>
      <c r="B116" s="76"/>
      <c r="C116" s="77" t="s">
        <v>987</v>
      </c>
      <c r="D116" s="77" t="s">
        <v>1484</v>
      </c>
      <c r="E116" s="77" t="s">
        <v>940</v>
      </c>
      <c r="F116" s="77" t="s">
        <v>989</v>
      </c>
      <c r="G116" s="77" t="s">
        <v>1485</v>
      </c>
      <c r="H116" s="77" t="s">
        <v>1486</v>
      </c>
      <c r="I116" s="77" t="s">
        <v>1487</v>
      </c>
      <c r="J116" s="77" t="s">
        <v>1488</v>
      </c>
      <c r="K116" s="77" t="s">
        <v>632</v>
      </c>
    </row>
    <row r="117" spans="1:11" ht="14.25" customHeight="1" x14ac:dyDescent="0.25">
      <c r="A117" s="75">
        <v>116</v>
      </c>
      <c r="B117" s="76"/>
      <c r="C117" s="77" t="s">
        <v>987</v>
      </c>
      <c r="D117" s="77" t="s">
        <v>1489</v>
      </c>
      <c r="E117" s="77" t="s">
        <v>947</v>
      </c>
      <c r="F117" s="77" t="s">
        <v>999</v>
      </c>
      <c r="G117" s="77" t="s">
        <v>1490</v>
      </c>
      <c r="H117" s="77" t="s">
        <v>1491</v>
      </c>
      <c r="I117" s="77" t="s">
        <v>1492</v>
      </c>
      <c r="J117" s="77" t="s">
        <v>1493</v>
      </c>
      <c r="K117" s="77" t="s">
        <v>632</v>
      </c>
    </row>
    <row r="118" spans="1:11" ht="14.25" customHeight="1" x14ac:dyDescent="0.25">
      <c r="A118" s="75">
        <v>117</v>
      </c>
      <c r="B118" s="76"/>
      <c r="C118" s="77" t="s">
        <v>1346</v>
      </c>
      <c r="D118" s="77" t="s">
        <v>1494</v>
      </c>
      <c r="E118" s="77" t="s">
        <v>955</v>
      </c>
      <c r="F118" s="77" t="s">
        <v>956</v>
      </c>
      <c r="G118" s="77" t="s">
        <v>1495</v>
      </c>
      <c r="H118" s="77" t="s">
        <v>1496</v>
      </c>
      <c r="I118" s="77" t="s">
        <v>1497</v>
      </c>
      <c r="J118" s="77" t="s">
        <v>1498</v>
      </c>
      <c r="K118" s="77" t="s">
        <v>632</v>
      </c>
    </row>
    <row r="119" spans="1:11" ht="14.25" customHeight="1" x14ac:dyDescent="0.25">
      <c r="A119" s="75">
        <v>118</v>
      </c>
      <c r="B119" s="76"/>
      <c r="C119" s="77" t="s">
        <v>1439</v>
      </c>
      <c r="D119" s="77" t="s">
        <v>1499</v>
      </c>
      <c r="E119" s="77" t="s">
        <v>947</v>
      </c>
      <c r="F119" s="77" t="s">
        <v>999</v>
      </c>
      <c r="G119" s="77" t="s">
        <v>1500</v>
      </c>
      <c r="H119" s="77" t="s">
        <v>1501</v>
      </c>
      <c r="I119" s="77" t="s">
        <v>1502</v>
      </c>
      <c r="J119" s="77" t="s">
        <v>1503</v>
      </c>
      <c r="K119" s="77" t="s">
        <v>632</v>
      </c>
    </row>
    <row r="120" spans="1:11" ht="14.25" customHeight="1" x14ac:dyDescent="0.25">
      <c r="A120" s="75">
        <v>119</v>
      </c>
      <c r="B120" s="76"/>
      <c r="C120" s="77" t="s">
        <v>1433</v>
      </c>
      <c r="D120" s="77" t="s">
        <v>1504</v>
      </c>
      <c r="E120" s="77" t="s">
        <v>955</v>
      </c>
      <c r="F120" s="77" t="s">
        <v>956</v>
      </c>
      <c r="G120" s="77" t="s">
        <v>1505</v>
      </c>
      <c r="H120" s="77" t="s">
        <v>1506</v>
      </c>
      <c r="I120" s="77" t="s">
        <v>1507</v>
      </c>
      <c r="J120" s="77" t="s">
        <v>1508</v>
      </c>
      <c r="K120" s="77" t="s">
        <v>632</v>
      </c>
    </row>
    <row r="121" spans="1:11" ht="14.25" customHeight="1" x14ac:dyDescent="0.25">
      <c r="A121" s="75">
        <v>120</v>
      </c>
      <c r="B121" s="76"/>
      <c r="C121" s="77" t="s">
        <v>1346</v>
      </c>
      <c r="D121" s="77" t="s">
        <v>1509</v>
      </c>
      <c r="E121" s="77" t="s">
        <v>955</v>
      </c>
      <c r="F121" s="77" t="s">
        <v>956</v>
      </c>
      <c r="G121" s="77" t="s">
        <v>1510</v>
      </c>
      <c r="H121" s="77" t="s">
        <v>1511</v>
      </c>
      <c r="I121" s="77" t="s">
        <v>1512</v>
      </c>
      <c r="J121" s="77" t="s">
        <v>1513</v>
      </c>
      <c r="K121" s="77" t="s">
        <v>632</v>
      </c>
    </row>
    <row r="122" spans="1:11" ht="14.25" customHeight="1" x14ac:dyDescent="0.25">
      <c r="A122" s="75">
        <v>121</v>
      </c>
      <c r="B122" s="76"/>
      <c r="C122" s="77" t="s">
        <v>938</v>
      </c>
      <c r="D122" s="77" t="s">
        <v>1514</v>
      </c>
      <c r="E122" s="77" t="s">
        <v>1515</v>
      </c>
      <c r="F122" s="77" t="s">
        <v>1516</v>
      </c>
      <c r="G122" s="77" t="s">
        <v>1517</v>
      </c>
      <c r="H122" s="77" t="s">
        <v>1518</v>
      </c>
      <c r="I122" s="77" t="s">
        <v>1519</v>
      </c>
      <c r="J122" s="77" t="s">
        <v>1520</v>
      </c>
      <c r="K122" s="77" t="s">
        <v>953</v>
      </c>
    </row>
    <row r="123" spans="1:11" ht="14.25" customHeight="1" x14ac:dyDescent="0.25">
      <c r="A123" s="75">
        <v>122</v>
      </c>
      <c r="B123" s="76"/>
      <c r="C123" s="77" t="s">
        <v>938</v>
      </c>
      <c r="D123" s="77" t="s">
        <v>1521</v>
      </c>
      <c r="E123" s="77" t="s">
        <v>1515</v>
      </c>
      <c r="F123" s="77" t="s">
        <v>1056</v>
      </c>
      <c r="G123" s="77" t="s">
        <v>1522</v>
      </c>
      <c r="H123" s="77" t="s">
        <v>1523</v>
      </c>
      <c r="I123" s="77" t="s">
        <v>1524</v>
      </c>
      <c r="J123" s="77" t="s">
        <v>1525</v>
      </c>
      <c r="K123" s="77" t="s">
        <v>953</v>
      </c>
    </row>
    <row r="124" spans="1:11" ht="14.25" customHeight="1" x14ac:dyDescent="0.25">
      <c r="A124" s="75">
        <v>123</v>
      </c>
      <c r="B124" s="76"/>
      <c r="C124" s="77" t="s">
        <v>938</v>
      </c>
      <c r="D124" s="77" t="s">
        <v>1526</v>
      </c>
      <c r="E124" s="77" t="s">
        <v>1062</v>
      </c>
      <c r="F124" s="77" t="s">
        <v>1063</v>
      </c>
      <c r="G124" s="77" t="s">
        <v>1527</v>
      </c>
      <c r="H124" s="77" t="s">
        <v>1528</v>
      </c>
      <c r="I124" s="77" t="s">
        <v>1529</v>
      </c>
      <c r="J124" s="77" t="s">
        <v>1530</v>
      </c>
      <c r="K124" s="77" t="s">
        <v>953</v>
      </c>
    </row>
    <row r="125" spans="1:11" ht="14.25" customHeight="1" x14ac:dyDescent="0.25">
      <c r="A125" s="75">
        <v>124</v>
      </c>
      <c r="B125" s="76"/>
      <c r="C125" s="77" t="s">
        <v>938</v>
      </c>
      <c r="D125" s="77" t="s">
        <v>1531</v>
      </c>
      <c r="E125" s="77" t="s">
        <v>1055</v>
      </c>
      <c r="F125" s="77" t="s">
        <v>1532</v>
      </c>
      <c r="G125" s="77" t="s">
        <v>1533</v>
      </c>
      <c r="H125" s="77" t="s">
        <v>1534</v>
      </c>
      <c r="I125" s="77" t="s">
        <v>1535</v>
      </c>
      <c r="J125" s="77" t="s">
        <v>1536</v>
      </c>
      <c r="K125" s="77" t="s">
        <v>953</v>
      </c>
    </row>
    <row r="126" spans="1:11" ht="14.25" customHeight="1" x14ac:dyDescent="0.25">
      <c r="A126" s="75">
        <v>125</v>
      </c>
      <c r="B126" s="76"/>
      <c r="C126" s="77" t="s">
        <v>938</v>
      </c>
      <c r="D126" s="77" t="s">
        <v>1537</v>
      </c>
      <c r="E126" s="77" t="s">
        <v>1062</v>
      </c>
      <c r="F126" s="77" t="s">
        <v>1532</v>
      </c>
      <c r="G126" s="77" t="s">
        <v>1538</v>
      </c>
      <c r="H126" s="77" t="s">
        <v>1539</v>
      </c>
      <c r="I126" s="77" t="s">
        <v>1540</v>
      </c>
      <c r="J126" s="77" t="s">
        <v>1541</v>
      </c>
      <c r="K126" s="77" t="s">
        <v>953</v>
      </c>
    </row>
    <row r="127" spans="1:11" ht="14.25" customHeight="1" x14ac:dyDescent="0.25">
      <c r="A127" s="75">
        <v>126</v>
      </c>
      <c r="B127" s="76"/>
      <c r="C127" s="77" t="s">
        <v>938</v>
      </c>
      <c r="D127" s="77" t="s">
        <v>1542</v>
      </c>
      <c r="E127" s="77" t="s">
        <v>1062</v>
      </c>
      <c r="F127" s="77" t="s">
        <v>1543</v>
      </c>
      <c r="G127" s="77" t="s">
        <v>1544</v>
      </c>
      <c r="H127" s="77" t="s">
        <v>1545</v>
      </c>
      <c r="I127" s="77" t="s">
        <v>1546</v>
      </c>
      <c r="J127" s="77" t="s">
        <v>1547</v>
      </c>
      <c r="K127" s="77" t="s">
        <v>953</v>
      </c>
    </row>
    <row r="128" spans="1:11" ht="14.25" customHeight="1" x14ac:dyDescent="0.25">
      <c r="A128" s="75">
        <v>127</v>
      </c>
      <c r="B128" s="76"/>
      <c r="C128" s="77" t="s">
        <v>938</v>
      </c>
      <c r="D128" s="77" t="s">
        <v>1548</v>
      </c>
      <c r="E128" s="77" t="s">
        <v>1549</v>
      </c>
      <c r="F128" s="77" t="s">
        <v>1543</v>
      </c>
      <c r="G128" s="77" t="s">
        <v>1550</v>
      </c>
      <c r="H128" s="77" t="s">
        <v>1551</v>
      </c>
      <c r="I128" s="77" t="s">
        <v>1552</v>
      </c>
      <c r="J128" s="77" t="s">
        <v>1553</v>
      </c>
      <c r="K128" s="77" t="s">
        <v>953</v>
      </c>
    </row>
    <row r="129" spans="1:11" ht="14.25" customHeight="1" x14ac:dyDescent="0.25">
      <c r="A129" s="75">
        <v>128</v>
      </c>
      <c r="B129" s="76"/>
      <c r="C129" s="77" t="s">
        <v>938</v>
      </c>
      <c r="D129" s="77" t="s">
        <v>1554</v>
      </c>
      <c r="E129" s="77" t="s">
        <v>1055</v>
      </c>
      <c r="F129" s="77" t="s">
        <v>1056</v>
      </c>
      <c r="G129" s="77" t="s">
        <v>1555</v>
      </c>
      <c r="H129" s="77" t="s">
        <v>1556</v>
      </c>
      <c r="I129" s="77" t="s">
        <v>1557</v>
      </c>
      <c r="J129" s="77" t="s">
        <v>1558</v>
      </c>
      <c r="K129" s="77" t="s">
        <v>953</v>
      </c>
    </row>
    <row r="130" spans="1:11" ht="14.25" customHeight="1" x14ac:dyDescent="0.25">
      <c r="A130" s="75">
        <v>129</v>
      </c>
      <c r="B130" s="76"/>
      <c r="C130" s="77" t="s">
        <v>938</v>
      </c>
      <c r="D130" s="77" t="s">
        <v>1559</v>
      </c>
      <c r="E130" s="77" t="s">
        <v>1549</v>
      </c>
      <c r="F130" s="77" t="s">
        <v>1056</v>
      </c>
      <c r="G130" s="77" t="s">
        <v>1560</v>
      </c>
      <c r="H130" s="77" t="s">
        <v>1561</v>
      </c>
      <c r="I130" s="77" t="s">
        <v>1562</v>
      </c>
      <c r="J130" s="77" t="s">
        <v>1563</v>
      </c>
      <c r="K130" s="77" t="s">
        <v>953</v>
      </c>
    </row>
    <row r="131" spans="1:11" ht="14.25" customHeight="1" x14ac:dyDescent="0.25">
      <c r="A131" s="75">
        <v>130</v>
      </c>
      <c r="B131" s="76"/>
      <c r="C131" s="77" t="s">
        <v>938</v>
      </c>
      <c r="D131" s="77" t="s">
        <v>1564</v>
      </c>
      <c r="E131" s="77" t="s">
        <v>1055</v>
      </c>
      <c r="F131" s="77" t="s">
        <v>785</v>
      </c>
      <c r="G131" s="77" t="s">
        <v>1565</v>
      </c>
      <c r="H131" s="77" t="s">
        <v>1566</v>
      </c>
      <c r="I131" s="77" t="s">
        <v>1567</v>
      </c>
      <c r="J131" s="77" t="s">
        <v>1568</v>
      </c>
      <c r="K131" s="77" t="s">
        <v>647</v>
      </c>
    </row>
    <row r="132" spans="1:11" ht="14.25" customHeight="1" x14ac:dyDescent="0.25">
      <c r="A132" s="78"/>
    </row>
    <row r="133" spans="1:11" ht="14.25" customHeight="1" x14ac:dyDescent="0.25">
      <c r="A133" s="78"/>
    </row>
    <row r="134" spans="1:11" ht="14.25" customHeight="1" x14ac:dyDescent="0.25">
      <c r="A134" s="78"/>
    </row>
    <row r="135" spans="1:11" ht="14.25" customHeight="1" x14ac:dyDescent="0.25">
      <c r="A135" s="78"/>
    </row>
    <row r="136" spans="1:11" ht="14.25" customHeight="1" x14ac:dyDescent="0.25">
      <c r="A136" s="78"/>
    </row>
    <row r="137" spans="1:11" ht="14.25" customHeight="1" x14ac:dyDescent="0.25">
      <c r="A137" s="78"/>
    </row>
    <row r="138" spans="1:11" ht="14.25" customHeight="1" x14ac:dyDescent="0.25">
      <c r="A138" s="78"/>
    </row>
    <row r="139" spans="1:11" ht="14.25" customHeight="1" x14ac:dyDescent="0.25">
      <c r="A139" s="78"/>
    </row>
    <row r="140" spans="1:11" ht="14.25" customHeight="1" x14ac:dyDescent="0.25">
      <c r="A140" s="78"/>
    </row>
    <row r="141" spans="1:11" ht="14.25" customHeight="1" x14ac:dyDescent="0.25">
      <c r="A141" s="78"/>
    </row>
    <row r="142" spans="1:11" ht="14.25" customHeight="1" x14ac:dyDescent="0.25">
      <c r="A142" s="78"/>
    </row>
    <row r="143" spans="1:11" ht="14.25" customHeight="1" x14ac:dyDescent="0.25">
      <c r="A143" s="78"/>
    </row>
    <row r="144" spans="1:11" ht="14.25" customHeight="1" x14ac:dyDescent="0.25">
      <c r="A144" s="78"/>
    </row>
    <row r="145" spans="1:1" ht="14.25" customHeight="1" x14ac:dyDescent="0.25">
      <c r="A145" s="78"/>
    </row>
    <row r="146" spans="1:1" ht="14.25" customHeight="1" x14ac:dyDescent="0.25">
      <c r="A146" s="78"/>
    </row>
    <row r="147" spans="1:1" ht="14.25" customHeight="1" x14ac:dyDescent="0.25">
      <c r="A147" s="78"/>
    </row>
    <row r="148" spans="1:1" ht="14.25" customHeight="1" x14ac:dyDescent="0.25">
      <c r="A148" s="78"/>
    </row>
    <row r="149" spans="1:1" ht="14.25" customHeight="1" x14ac:dyDescent="0.25">
      <c r="A149" s="78"/>
    </row>
    <row r="150" spans="1:1" ht="14.25" customHeight="1" x14ac:dyDescent="0.25">
      <c r="A150" s="78"/>
    </row>
    <row r="151" spans="1:1" ht="14.25" customHeight="1" x14ac:dyDescent="0.25">
      <c r="A151" s="78"/>
    </row>
    <row r="152" spans="1:1" ht="14.25" customHeight="1" x14ac:dyDescent="0.25">
      <c r="A152" s="78"/>
    </row>
    <row r="153" spans="1:1" ht="14.25" customHeight="1" x14ac:dyDescent="0.25">
      <c r="A153" s="78"/>
    </row>
    <row r="154" spans="1:1" ht="14.25" customHeight="1" x14ac:dyDescent="0.25">
      <c r="A154" s="78"/>
    </row>
    <row r="155" spans="1:1" ht="14.25" customHeight="1" x14ac:dyDescent="0.25">
      <c r="A155" s="78"/>
    </row>
    <row r="156" spans="1:1" ht="14.25" customHeight="1" x14ac:dyDescent="0.25">
      <c r="A156" s="78"/>
    </row>
    <row r="157" spans="1:1" ht="14.25" customHeight="1" x14ac:dyDescent="0.25">
      <c r="A157" s="78"/>
    </row>
    <row r="158" spans="1:1" ht="14.25" customHeight="1" x14ac:dyDescent="0.25">
      <c r="A158" s="78"/>
    </row>
    <row r="159" spans="1:1" ht="14.25" customHeight="1" x14ac:dyDescent="0.25">
      <c r="A159" s="78"/>
    </row>
    <row r="160" spans="1:1" ht="14.25" customHeight="1" x14ac:dyDescent="0.25">
      <c r="A160" s="78"/>
    </row>
    <row r="161" spans="1:1" ht="14.25" customHeight="1" x14ac:dyDescent="0.25">
      <c r="A161" s="78"/>
    </row>
    <row r="162" spans="1:1" ht="14.25" customHeight="1" x14ac:dyDescent="0.25">
      <c r="A162" s="78"/>
    </row>
    <row r="163" spans="1:1" ht="14.25" customHeight="1" x14ac:dyDescent="0.25">
      <c r="A163" s="78"/>
    </row>
    <row r="164" spans="1:1" ht="14.25" customHeight="1" x14ac:dyDescent="0.25">
      <c r="A164" s="78"/>
    </row>
    <row r="165" spans="1:1" ht="14.25" customHeight="1" x14ac:dyDescent="0.25">
      <c r="A165" s="78"/>
    </row>
    <row r="166" spans="1:1" ht="14.25" customHeight="1" x14ac:dyDescent="0.25">
      <c r="A166" s="78"/>
    </row>
    <row r="167" spans="1:1" ht="14.25" customHeight="1" x14ac:dyDescent="0.25">
      <c r="A167" s="78"/>
    </row>
    <row r="168" spans="1:1" ht="14.25" customHeight="1" x14ac:dyDescent="0.25">
      <c r="A168" s="78"/>
    </row>
    <row r="169" spans="1:1" ht="14.25" customHeight="1" x14ac:dyDescent="0.25">
      <c r="A169" s="78"/>
    </row>
    <row r="170" spans="1:1" ht="14.25" customHeight="1" x14ac:dyDescent="0.25">
      <c r="A170" s="78"/>
    </row>
    <row r="171" spans="1:1" ht="14.25" customHeight="1" x14ac:dyDescent="0.25">
      <c r="A171" s="78"/>
    </row>
    <row r="172" spans="1:1" ht="14.25" customHeight="1" x14ac:dyDescent="0.25">
      <c r="A172" s="78"/>
    </row>
    <row r="173" spans="1:1" ht="14.25" customHeight="1" x14ac:dyDescent="0.25">
      <c r="A173" s="78"/>
    </row>
    <row r="174" spans="1:1" ht="14.25" customHeight="1" x14ac:dyDescent="0.25">
      <c r="A174" s="78"/>
    </row>
    <row r="175" spans="1:1" ht="14.25" customHeight="1" x14ac:dyDescent="0.25">
      <c r="A175" s="78"/>
    </row>
    <row r="176" spans="1:1" ht="14.25" customHeight="1" x14ac:dyDescent="0.25">
      <c r="A176" s="78"/>
    </row>
    <row r="177" spans="1:1" ht="14.25" customHeight="1" x14ac:dyDescent="0.25">
      <c r="A177" s="78"/>
    </row>
    <row r="178" spans="1:1" ht="14.25" customHeight="1" x14ac:dyDescent="0.25">
      <c r="A178" s="78"/>
    </row>
    <row r="179" spans="1:1" ht="14.25" customHeight="1" x14ac:dyDescent="0.25">
      <c r="A179" s="78"/>
    </row>
    <row r="180" spans="1:1" ht="14.25" customHeight="1" x14ac:dyDescent="0.25">
      <c r="A180" s="78"/>
    </row>
    <row r="181" spans="1:1" ht="14.25" customHeight="1" x14ac:dyDescent="0.25">
      <c r="A181" s="78"/>
    </row>
    <row r="182" spans="1:1" ht="14.25" customHeight="1" x14ac:dyDescent="0.25">
      <c r="A182" s="78"/>
    </row>
    <row r="183" spans="1:1" ht="14.25" customHeight="1" x14ac:dyDescent="0.25">
      <c r="A183" s="78"/>
    </row>
    <row r="184" spans="1:1" ht="14.25" customHeight="1" x14ac:dyDescent="0.25">
      <c r="A184" s="78"/>
    </row>
    <row r="185" spans="1:1" ht="14.25" customHeight="1" x14ac:dyDescent="0.25">
      <c r="A185" s="78"/>
    </row>
    <row r="186" spans="1:1" ht="14.25" customHeight="1" x14ac:dyDescent="0.25">
      <c r="A186" s="78"/>
    </row>
    <row r="187" spans="1:1" ht="14.25" customHeight="1" x14ac:dyDescent="0.25">
      <c r="A187" s="78"/>
    </row>
    <row r="188" spans="1:1" ht="14.25" customHeight="1" x14ac:dyDescent="0.25">
      <c r="A188" s="78"/>
    </row>
    <row r="189" spans="1:1" ht="14.25" customHeight="1" x14ac:dyDescent="0.25">
      <c r="A189" s="78"/>
    </row>
    <row r="190" spans="1:1" ht="14.25" customHeight="1" x14ac:dyDescent="0.25">
      <c r="A190" s="78"/>
    </row>
    <row r="191" spans="1:1" ht="14.25" customHeight="1" x14ac:dyDescent="0.25">
      <c r="A191" s="78"/>
    </row>
    <row r="192" spans="1:1" ht="14.25" customHeight="1" x14ac:dyDescent="0.25">
      <c r="A192" s="78"/>
    </row>
    <row r="193" spans="1:1" ht="14.25" customHeight="1" x14ac:dyDescent="0.25">
      <c r="A193" s="78"/>
    </row>
    <row r="194" spans="1:1" ht="14.25" customHeight="1" x14ac:dyDescent="0.25">
      <c r="A194" s="78"/>
    </row>
    <row r="195" spans="1:1" ht="14.25" customHeight="1" x14ac:dyDescent="0.25">
      <c r="A195" s="78"/>
    </row>
    <row r="196" spans="1:1" ht="14.25" customHeight="1" x14ac:dyDescent="0.25">
      <c r="A196" s="78"/>
    </row>
    <row r="197" spans="1:1" ht="14.25" customHeight="1" x14ac:dyDescent="0.25">
      <c r="A197" s="78"/>
    </row>
    <row r="198" spans="1:1" ht="14.25" customHeight="1" x14ac:dyDescent="0.25">
      <c r="A198" s="78"/>
    </row>
    <row r="199" spans="1:1" ht="14.25" customHeight="1" x14ac:dyDescent="0.25">
      <c r="A199" s="78"/>
    </row>
    <row r="200" spans="1:1" ht="14.25" customHeight="1" x14ac:dyDescent="0.25">
      <c r="A200" s="78"/>
    </row>
    <row r="201" spans="1:1" ht="14.25" customHeight="1" x14ac:dyDescent="0.25">
      <c r="A201" s="78"/>
    </row>
    <row r="202" spans="1:1" ht="14.25" customHeight="1" x14ac:dyDescent="0.25">
      <c r="A202" s="78"/>
    </row>
    <row r="203" spans="1:1" ht="14.25" customHeight="1" x14ac:dyDescent="0.25">
      <c r="A203" s="78"/>
    </row>
    <row r="204" spans="1:1" ht="14.25" customHeight="1" x14ac:dyDescent="0.25">
      <c r="A204" s="78"/>
    </row>
    <row r="205" spans="1:1" ht="14.25" customHeight="1" x14ac:dyDescent="0.25">
      <c r="A205" s="78"/>
    </row>
    <row r="206" spans="1:1" ht="14.25" customHeight="1" x14ac:dyDescent="0.25">
      <c r="A206" s="78"/>
    </row>
    <row r="207" spans="1:1" ht="14.25" customHeight="1" x14ac:dyDescent="0.25">
      <c r="A207" s="78"/>
    </row>
    <row r="208" spans="1:1" ht="14.25" customHeight="1" x14ac:dyDescent="0.25">
      <c r="A208" s="78"/>
    </row>
    <row r="209" spans="1:1" ht="14.25" customHeight="1" x14ac:dyDescent="0.25">
      <c r="A209" s="78"/>
    </row>
    <row r="210" spans="1:1" ht="14.25" customHeight="1" x14ac:dyDescent="0.25">
      <c r="A210" s="78"/>
    </row>
    <row r="211" spans="1:1" ht="14.25" customHeight="1" x14ac:dyDescent="0.25">
      <c r="A211" s="78"/>
    </row>
    <row r="212" spans="1:1" ht="14.25" customHeight="1" x14ac:dyDescent="0.25">
      <c r="A212" s="78"/>
    </row>
    <row r="213" spans="1:1" ht="14.25" customHeight="1" x14ac:dyDescent="0.25">
      <c r="A213" s="78"/>
    </row>
    <row r="214" spans="1:1" ht="14.25" customHeight="1" x14ac:dyDescent="0.25">
      <c r="A214" s="78"/>
    </row>
    <row r="215" spans="1:1" ht="14.25" customHeight="1" x14ac:dyDescent="0.25">
      <c r="A215" s="78"/>
    </row>
    <row r="216" spans="1:1" ht="14.25" customHeight="1" x14ac:dyDescent="0.25">
      <c r="A216" s="78"/>
    </row>
    <row r="217" spans="1:1" ht="14.25" customHeight="1" x14ac:dyDescent="0.25">
      <c r="A217" s="78"/>
    </row>
    <row r="218" spans="1:1" ht="14.25" customHeight="1" x14ac:dyDescent="0.25">
      <c r="A218" s="78"/>
    </row>
    <row r="219" spans="1:1" ht="14.25" customHeight="1" x14ac:dyDescent="0.25">
      <c r="A219" s="78"/>
    </row>
    <row r="220" spans="1:1" ht="14.25" customHeight="1" x14ac:dyDescent="0.25">
      <c r="A220" s="78"/>
    </row>
    <row r="221" spans="1:1" ht="14.25" customHeight="1" x14ac:dyDescent="0.25">
      <c r="A221" s="78"/>
    </row>
    <row r="222" spans="1:1" ht="14.25" customHeight="1" x14ac:dyDescent="0.25">
      <c r="A222" s="78"/>
    </row>
    <row r="223" spans="1:1" ht="14.25" customHeight="1" x14ac:dyDescent="0.25">
      <c r="A223" s="78"/>
    </row>
    <row r="224" spans="1:1" ht="14.25" customHeight="1" x14ac:dyDescent="0.25">
      <c r="A224" s="78"/>
    </row>
    <row r="225" spans="1:1" ht="14.25" customHeight="1" x14ac:dyDescent="0.25">
      <c r="A225" s="78"/>
    </row>
    <row r="226" spans="1:1" ht="14.25" customHeight="1" x14ac:dyDescent="0.25">
      <c r="A226" s="78"/>
    </row>
    <row r="227" spans="1:1" ht="14.25" customHeight="1" x14ac:dyDescent="0.25">
      <c r="A227" s="78"/>
    </row>
    <row r="228" spans="1:1" ht="14.25" customHeight="1" x14ac:dyDescent="0.25">
      <c r="A228" s="78"/>
    </row>
    <row r="229" spans="1:1" ht="14.25" customHeight="1" x14ac:dyDescent="0.25">
      <c r="A229" s="78"/>
    </row>
    <row r="230" spans="1:1" ht="14.25" customHeight="1" x14ac:dyDescent="0.25">
      <c r="A230" s="78"/>
    </row>
    <row r="231" spans="1:1" ht="14.25" customHeight="1" x14ac:dyDescent="0.25">
      <c r="A231" s="78"/>
    </row>
    <row r="232" spans="1:1" ht="14.25" customHeight="1" x14ac:dyDescent="0.25">
      <c r="A232" s="78"/>
    </row>
    <row r="233" spans="1:1" ht="14.25" customHeight="1" x14ac:dyDescent="0.25">
      <c r="A233" s="78"/>
    </row>
    <row r="234" spans="1:1" ht="14.25" customHeight="1" x14ac:dyDescent="0.25">
      <c r="A234" s="78"/>
    </row>
    <row r="235" spans="1:1" ht="14.25" customHeight="1" x14ac:dyDescent="0.25">
      <c r="A235" s="78"/>
    </row>
    <row r="236" spans="1:1" ht="14.25" customHeight="1" x14ac:dyDescent="0.25">
      <c r="A236" s="78"/>
    </row>
    <row r="237" spans="1:1" ht="14.25" customHeight="1" x14ac:dyDescent="0.25">
      <c r="A237" s="78"/>
    </row>
    <row r="238" spans="1:1" ht="14.25" customHeight="1" x14ac:dyDescent="0.25">
      <c r="A238" s="78"/>
    </row>
    <row r="239" spans="1:1" ht="14.25" customHeight="1" x14ac:dyDescent="0.25">
      <c r="A239" s="78"/>
    </row>
    <row r="240" spans="1:1" ht="14.25" customHeight="1" x14ac:dyDescent="0.25">
      <c r="A240" s="78"/>
    </row>
    <row r="241" spans="1:1" ht="14.25" customHeight="1" x14ac:dyDescent="0.25">
      <c r="A241" s="78"/>
    </row>
    <row r="242" spans="1:1" ht="14.25" customHeight="1" x14ac:dyDescent="0.25">
      <c r="A242" s="78"/>
    </row>
    <row r="243" spans="1:1" ht="14.25" customHeight="1" x14ac:dyDescent="0.25">
      <c r="A243" s="78"/>
    </row>
    <row r="244" spans="1:1" ht="14.25" customHeight="1" x14ac:dyDescent="0.25">
      <c r="A244" s="78"/>
    </row>
    <row r="245" spans="1:1" ht="14.25" customHeight="1" x14ac:dyDescent="0.25">
      <c r="A245" s="78"/>
    </row>
    <row r="246" spans="1:1" ht="14.25" customHeight="1" x14ac:dyDescent="0.25">
      <c r="A246" s="78"/>
    </row>
    <row r="247" spans="1:1" ht="14.25" customHeight="1" x14ac:dyDescent="0.25">
      <c r="A247" s="78"/>
    </row>
    <row r="248" spans="1:1" ht="14.25" customHeight="1" x14ac:dyDescent="0.25">
      <c r="A248" s="78"/>
    </row>
    <row r="249" spans="1:1" ht="14.25" customHeight="1" x14ac:dyDescent="0.25">
      <c r="A249" s="78"/>
    </row>
    <row r="250" spans="1:1" ht="14.25" customHeight="1" x14ac:dyDescent="0.25">
      <c r="A250" s="78"/>
    </row>
    <row r="251" spans="1:1" ht="14.25" customHeight="1" x14ac:dyDescent="0.25">
      <c r="A251" s="78"/>
    </row>
    <row r="252" spans="1:1" ht="14.25" customHeight="1" x14ac:dyDescent="0.25">
      <c r="A252" s="78"/>
    </row>
    <row r="253" spans="1:1" ht="14.25" customHeight="1" x14ac:dyDescent="0.25">
      <c r="A253" s="78"/>
    </row>
    <row r="254" spans="1:1" ht="14.25" customHeight="1" x14ac:dyDescent="0.25">
      <c r="A254" s="78"/>
    </row>
    <row r="255" spans="1:1" ht="14.25" customHeight="1" x14ac:dyDescent="0.25">
      <c r="A255" s="78"/>
    </row>
    <row r="256" spans="1:1" ht="14.25" customHeight="1" x14ac:dyDescent="0.25">
      <c r="A256" s="78"/>
    </row>
    <row r="257" spans="1:1" ht="14.25" customHeight="1" x14ac:dyDescent="0.25">
      <c r="A257" s="78"/>
    </row>
    <row r="258" spans="1:1" ht="14.25" customHeight="1" x14ac:dyDescent="0.25">
      <c r="A258" s="78"/>
    </row>
    <row r="259" spans="1:1" ht="14.25" customHeight="1" x14ac:dyDescent="0.25">
      <c r="A259" s="78"/>
    </row>
    <row r="260" spans="1:1" ht="14.25" customHeight="1" x14ac:dyDescent="0.25">
      <c r="A260" s="78"/>
    </row>
    <row r="261" spans="1:1" ht="14.25" customHeight="1" x14ac:dyDescent="0.25">
      <c r="A261" s="78"/>
    </row>
    <row r="262" spans="1:1" ht="14.25" customHeight="1" x14ac:dyDescent="0.25">
      <c r="A262" s="78"/>
    </row>
    <row r="263" spans="1:1" ht="14.25" customHeight="1" x14ac:dyDescent="0.25">
      <c r="A263" s="78"/>
    </row>
    <row r="264" spans="1:1" ht="14.25" customHeight="1" x14ac:dyDescent="0.25">
      <c r="A264" s="78"/>
    </row>
    <row r="265" spans="1:1" ht="14.25" customHeight="1" x14ac:dyDescent="0.25">
      <c r="A265" s="78"/>
    </row>
    <row r="266" spans="1:1" ht="14.25" customHeight="1" x14ac:dyDescent="0.25">
      <c r="A266" s="78"/>
    </row>
    <row r="267" spans="1:1" ht="14.25" customHeight="1" x14ac:dyDescent="0.25">
      <c r="A267" s="78"/>
    </row>
    <row r="268" spans="1:1" ht="14.25" customHeight="1" x14ac:dyDescent="0.25">
      <c r="A268" s="78"/>
    </row>
    <row r="269" spans="1:1" ht="14.25" customHeight="1" x14ac:dyDescent="0.25">
      <c r="A269" s="78"/>
    </row>
    <row r="270" spans="1:1" ht="14.25" customHeight="1" x14ac:dyDescent="0.25">
      <c r="A270" s="78"/>
    </row>
    <row r="271" spans="1:1" ht="14.25" customHeight="1" x14ac:dyDescent="0.25">
      <c r="A271" s="78"/>
    </row>
    <row r="272" spans="1:1" ht="14.25" customHeight="1" x14ac:dyDescent="0.25">
      <c r="A272" s="78"/>
    </row>
    <row r="273" spans="1:1" ht="14.25" customHeight="1" x14ac:dyDescent="0.25">
      <c r="A273" s="78"/>
    </row>
    <row r="274" spans="1:1" ht="14.25" customHeight="1" x14ac:dyDescent="0.25">
      <c r="A274" s="78"/>
    </row>
    <row r="275" spans="1:1" ht="14.25" customHeight="1" x14ac:dyDescent="0.25">
      <c r="A275" s="78"/>
    </row>
    <row r="276" spans="1:1" ht="14.25" customHeight="1" x14ac:dyDescent="0.25">
      <c r="A276" s="78"/>
    </row>
    <row r="277" spans="1:1" ht="14.25" customHeight="1" x14ac:dyDescent="0.25">
      <c r="A277" s="78"/>
    </row>
    <row r="278" spans="1:1" ht="14.25" customHeight="1" x14ac:dyDescent="0.25">
      <c r="A278" s="78"/>
    </row>
    <row r="279" spans="1:1" ht="14.25" customHeight="1" x14ac:dyDescent="0.25">
      <c r="A279" s="78"/>
    </row>
    <row r="280" spans="1:1" ht="14.25" customHeight="1" x14ac:dyDescent="0.25">
      <c r="A280" s="78"/>
    </row>
    <row r="281" spans="1:1" ht="14.25" customHeight="1" x14ac:dyDescent="0.25">
      <c r="A281" s="78"/>
    </row>
    <row r="282" spans="1:1" ht="14.25" customHeight="1" x14ac:dyDescent="0.25">
      <c r="A282" s="78"/>
    </row>
    <row r="283" spans="1:1" ht="14.25" customHeight="1" x14ac:dyDescent="0.25">
      <c r="A283" s="78"/>
    </row>
    <row r="284" spans="1:1" ht="14.25" customHeight="1" x14ac:dyDescent="0.25">
      <c r="A284" s="78"/>
    </row>
    <row r="285" spans="1:1" ht="14.25" customHeight="1" x14ac:dyDescent="0.25">
      <c r="A285" s="78"/>
    </row>
    <row r="286" spans="1:1" ht="14.25" customHeight="1" x14ac:dyDescent="0.25">
      <c r="A286" s="78"/>
    </row>
    <row r="287" spans="1:1" ht="14.25" customHeight="1" x14ac:dyDescent="0.25">
      <c r="A287" s="78"/>
    </row>
    <row r="288" spans="1:1" ht="14.25" customHeight="1" x14ac:dyDescent="0.25">
      <c r="A288" s="78"/>
    </row>
    <row r="289" spans="1:1" ht="14.25" customHeight="1" x14ac:dyDescent="0.25">
      <c r="A289" s="78"/>
    </row>
    <row r="290" spans="1:1" ht="14.25" customHeight="1" x14ac:dyDescent="0.25">
      <c r="A290" s="78"/>
    </row>
    <row r="291" spans="1:1" ht="14.25" customHeight="1" x14ac:dyDescent="0.25">
      <c r="A291" s="78"/>
    </row>
    <row r="292" spans="1:1" ht="14.25" customHeight="1" x14ac:dyDescent="0.25">
      <c r="A292" s="78"/>
    </row>
    <row r="293" spans="1:1" ht="14.25" customHeight="1" x14ac:dyDescent="0.25">
      <c r="A293" s="78"/>
    </row>
    <row r="294" spans="1:1" ht="14.25" customHeight="1" x14ac:dyDescent="0.25">
      <c r="A294" s="78"/>
    </row>
    <row r="295" spans="1:1" ht="14.25" customHeight="1" x14ac:dyDescent="0.25">
      <c r="A295" s="78"/>
    </row>
    <row r="296" spans="1:1" ht="14.25" customHeight="1" x14ac:dyDescent="0.25">
      <c r="A296" s="78"/>
    </row>
    <row r="297" spans="1:1" ht="14.25" customHeight="1" x14ac:dyDescent="0.25">
      <c r="A297" s="78"/>
    </row>
    <row r="298" spans="1:1" ht="14.25" customHeight="1" x14ac:dyDescent="0.25">
      <c r="A298" s="78"/>
    </row>
    <row r="299" spans="1:1" ht="14.25" customHeight="1" x14ac:dyDescent="0.25">
      <c r="A299" s="78"/>
    </row>
    <row r="300" spans="1:1" ht="14.25" customHeight="1" x14ac:dyDescent="0.25">
      <c r="A300" s="78"/>
    </row>
    <row r="301" spans="1:1" ht="14.25" customHeight="1" x14ac:dyDescent="0.25">
      <c r="A301" s="78"/>
    </row>
    <row r="302" spans="1:1" ht="14.25" customHeight="1" x14ac:dyDescent="0.25">
      <c r="A302" s="78"/>
    </row>
    <row r="303" spans="1:1" ht="14.25" customHeight="1" x14ac:dyDescent="0.25">
      <c r="A303" s="78"/>
    </row>
    <row r="304" spans="1:1" ht="14.25" customHeight="1" x14ac:dyDescent="0.25">
      <c r="A304" s="78"/>
    </row>
    <row r="305" spans="1:1" ht="14.25" customHeight="1" x14ac:dyDescent="0.25">
      <c r="A305" s="78"/>
    </row>
    <row r="306" spans="1:1" ht="14.25" customHeight="1" x14ac:dyDescent="0.25">
      <c r="A306" s="78"/>
    </row>
    <row r="307" spans="1:1" ht="14.25" customHeight="1" x14ac:dyDescent="0.25">
      <c r="A307" s="78"/>
    </row>
    <row r="308" spans="1:1" ht="14.25" customHeight="1" x14ac:dyDescent="0.25">
      <c r="A308" s="78"/>
    </row>
    <row r="309" spans="1:1" ht="14.25" customHeight="1" x14ac:dyDescent="0.25">
      <c r="A309" s="78"/>
    </row>
    <row r="310" spans="1:1" ht="14.25" customHeight="1" x14ac:dyDescent="0.25">
      <c r="A310" s="78"/>
    </row>
    <row r="311" spans="1:1" ht="14.25" customHeight="1" x14ac:dyDescent="0.25">
      <c r="A311" s="78"/>
    </row>
    <row r="312" spans="1:1" ht="14.25" customHeight="1" x14ac:dyDescent="0.25">
      <c r="A312" s="78"/>
    </row>
    <row r="313" spans="1:1" ht="14.25" customHeight="1" x14ac:dyDescent="0.25">
      <c r="A313" s="78"/>
    </row>
    <row r="314" spans="1:1" ht="14.25" customHeight="1" x14ac:dyDescent="0.25">
      <c r="A314" s="78"/>
    </row>
    <row r="315" spans="1:1" ht="14.25" customHeight="1" x14ac:dyDescent="0.25">
      <c r="A315" s="78"/>
    </row>
    <row r="316" spans="1:1" ht="14.25" customHeight="1" x14ac:dyDescent="0.25">
      <c r="A316" s="78"/>
    </row>
    <row r="317" spans="1:1" ht="14.25" customHeight="1" x14ac:dyDescent="0.25">
      <c r="A317" s="78"/>
    </row>
    <row r="318" spans="1:1" ht="14.25" customHeight="1" x14ac:dyDescent="0.25">
      <c r="A318" s="78"/>
    </row>
    <row r="319" spans="1:1" ht="14.25" customHeight="1" x14ac:dyDescent="0.25">
      <c r="A319" s="78"/>
    </row>
    <row r="320" spans="1:1" ht="14.25" customHeight="1" x14ac:dyDescent="0.25">
      <c r="A320" s="78"/>
    </row>
    <row r="321" spans="1:1" ht="14.25" customHeight="1" x14ac:dyDescent="0.25">
      <c r="A321" s="78"/>
    </row>
    <row r="322" spans="1:1" ht="14.25" customHeight="1" x14ac:dyDescent="0.25">
      <c r="A322" s="78"/>
    </row>
    <row r="323" spans="1:1" ht="14.25" customHeight="1" x14ac:dyDescent="0.25">
      <c r="A323" s="78"/>
    </row>
    <row r="324" spans="1:1" ht="14.25" customHeight="1" x14ac:dyDescent="0.25">
      <c r="A324" s="78"/>
    </row>
    <row r="325" spans="1:1" ht="14.25" customHeight="1" x14ac:dyDescent="0.25">
      <c r="A325" s="78"/>
    </row>
    <row r="326" spans="1:1" ht="14.25" customHeight="1" x14ac:dyDescent="0.25">
      <c r="A326" s="78"/>
    </row>
    <row r="327" spans="1:1" ht="14.25" customHeight="1" x14ac:dyDescent="0.25">
      <c r="A327" s="78"/>
    </row>
    <row r="328" spans="1:1" ht="14.25" customHeight="1" x14ac:dyDescent="0.25">
      <c r="A328" s="78"/>
    </row>
    <row r="329" spans="1:1" ht="14.25" customHeight="1" x14ac:dyDescent="0.25">
      <c r="A329" s="78"/>
    </row>
    <row r="330" spans="1:1" ht="14.25" customHeight="1" x14ac:dyDescent="0.25">
      <c r="A330" s="78"/>
    </row>
    <row r="331" spans="1:1" ht="14.25" customHeight="1" x14ac:dyDescent="0.25">
      <c r="A331" s="78"/>
    </row>
    <row r="332" spans="1:1" ht="14.25" customHeight="1" x14ac:dyDescent="0.25">
      <c r="A332" s="78"/>
    </row>
    <row r="333" spans="1:1" ht="14.25" customHeight="1" x14ac:dyDescent="0.25">
      <c r="A333" s="78"/>
    </row>
    <row r="334" spans="1:1" ht="14.25" customHeight="1" x14ac:dyDescent="0.25">
      <c r="A334" s="78"/>
    </row>
    <row r="335" spans="1:1" ht="14.25" customHeight="1" x14ac:dyDescent="0.25">
      <c r="A335" s="78"/>
    </row>
    <row r="336" spans="1:1" ht="14.25" customHeight="1" x14ac:dyDescent="0.25">
      <c r="A336" s="78"/>
    </row>
    <row r="337" spans="1:1" ht="14.25" customHeight="1" x14ac:dyDescent="0.25">
      <c r="A337" s="78"/>
    </row>
    <row r="338" spans="1:1" ht="14.25" customHeight="1" x14ac:dyDescent="0.25">
      <c r="A338" s="78"/>
    </row>
    <row r="339" spans="1:1" ht="14.25" customHeight="1" x14ac:dyDescent="0.25">
      <c r="A339" s="78"/>
    </row>
    <row r="340" spans="1:1" ht="14.25" customHeight="1" x14ac:dyDescent="0.25">
      <c r="A340" s="78"/>
    </row>
    <row r="341" spans="1:1" ht="14.25" customHeight="1" x14ac:dyDescent="0.25">
      <c r="A341" s="78"/>
    </row>
    <row r="342" spans="1:1" ht="14.25" customHeight="1" x14ac:dyDescent="0.25">
      <c r="A342" s="78"/>
    </row>
    <row r="343" spans="1:1" ht="14.25" customHeight="1" x14ac:dyDescent="0.25">
      <c r="A343" s="78"/>
    </row>
    <row r="344" spans="1:1" ht="14.25" customHeight="1" x14ac:dyDescent="0.25">
      <c r="A344" s="78"/>
    </row>
    <row r="345" spans="1:1" ht="14.25" customHeight="1" x14ac:dyDescent="0.25">
      <c r="A345" s="78"/>
    </row>
    <row r="346" spans="1:1" ht="14.25" customHeight="1" x14ac:dyDescent="0.25">
      <c r="A346" s="78"/>
    </row>
    <row r="347" spans="1:1" ht="14.25" customHeight="1" x14ac:dyDescent="0.25">
      <c r="A347" s="78"/>
    </row>
    <row r="348" spans="1:1" ht="14.25" customHeight="1" x14ac:dyDescent="0.25">
      <c r="A348" s="78"/>
    </row>
    <row r="349" spans="1:1" ht="14.25" customHeight="1" x14ac:dyDescent="0.25">
      <c r="A349" s="78"/>
    </row>
    <row r="350" spans="1:1" ht="14.25" customHeight="1" x14ac:dyDescent="0.25">
      <c r="A350" s="78"/>
    </row>
    <row r="351" spans="1:1" ht="14.25" customHeight="1" x14ac:dyDescent="0.25">
      <c r="A351" s="78"/>
    </row>
    <row r="352" spans="1:1" ht="14.25" customHeight="1" x14ac:dyDescent="0.25">
      <c r="A352" s="78"/>
    </row>
    <row r="353" spans="1:1" ht="14.25" customHeight="1" x14ac:dyDescent="0.25">
      <c r="A353" s="78"/>
    </row>
    <row r="354" spans="1:1" ht="14.25" customHeight="1" x14ac:dyDescent="0.25">
      <c r="A354" s="78"/>
    </row>
    <row r="355" spans="1:1" ht="14.25" customHeight="1" x14ac:dyDescent="0.25">
      <c r="A355" s="78"/>
    </row>
    <row r="356" spans="1:1" ht="14.25" customHeight="1" x14ac:dyDescent="0.25">
      <c r="A356" s="78"/>
    </row>
    <row r="357" spans="1:1" ht="14.25" customHeight="1" x14ac:dyDescent="0.25">
      <c r="A357" s="78"/>
    </row>
    <row r="358" spans="1:1" ht="14.25" customHeight="1" x14ac:dyDescent="0.25">
      <c r="A358" s="78"/>
    </row>
    <row r="359" spans="1:1" ht="14.25" customHeight="1" x14ac:dyDescent="0.25">
      <c r="A359" s="78"/>
    </row>
    <row r="360" spans="1:1" ht="14.25" customHeight="1" x14ac:dyDescent="0.25">
      <c r="A360" s="78"/>
    </row>
    <row r="361" spans="1:1" ht="14.25" customHeight="1" x14ac:dyDescent="0.25">
      <c r="A361" s="78"/>
    </row>
    <row r="362" spans="1:1" ht="14.25" customHeight="1" x14ac:dyDescent="0.25">
      <c r="A362" s="78"/>
    </row>
    <row r="363" spans="1:1" ht="14.25" customHeight="1" x14ac:dyDescent="0.25">
      <c r="A363" s="78"/>
    </row>
    <row r="364" spans="1:1" ht="14.25" customHeight="1" x14ac:dyDescent="0.25">
      <c r="A364" s="78"/>
    </row>
    <row r="365" spans="1:1" ht="14.25" customHeight="1" x14ac:dyDescent="0.25">
      <c r="A365" s="78"/>
    </row>
    <row r="366" spans="1:1" ht="14.25" customHeight="1" x14ac:dyDescent="0.25">
      <c r="A366" s="78"/>
    </row>
    <row r="367" spans="1:1" ht="14.25" customHeight="1" x14ac:dyDescent="0.25">
      <c r="A367" s="78"/>
    </row>
    <row r="368" spans="1:1" ht="14.25" customHeight="1" x14ac:dyDescent="0.25">
      <c r="A368" s="78"/>
    </row>
    <row r="369" spans="1:1" ht="14.25" customHeight="1" x14ac:dyDescent="0.25">
      <c r="A369" s="78"/>
    </row>
    <row r="370" spans="1:1" ht="14.25" customHeight="1" x14ac:dyDescent="0.25">
      <c r="A370" s="78"/>
    </row>
    <row r="371" spans="1:1" ht="14.25" customHeight="1" x14ac:dyDescent="0.25">
      <c r="A371" s="78"/>
    </row>
    <row r="372" spans="1:1" ht="14.25" customHeight="1" x14ac:dyDescent="0.25">
      <c r="A372" s="78"/>
    </row>
    <row r="373" spans="1:1" ht="14.25" customHeight="1" x14ac:dyDescent="0.25">
      <c r="A373" s="78"/>
    </row>
    <row r="374" spans="1:1" ht="14.25" customHeight="1" x14ac:dyDescent="0.25">
      <c r="A374" s="78"/>
    </row>
    <row r="375" spans="1:1" ht="14.25" customHeight="1" x14ac:dyDescent="0.25">
      <c r="A375" s="78"/>
    </row>
    <row r="376" spans="1:1" ht="14.25" customHeight="1" x14ac:dyDescent="0.25">
      <c r="A376" s="78"/>
    </row>
    <row r="377" spans="1:1" ht="14.25" customHeight="1" x14ac:dyDescent="0.25">
      <c r="A377" s="78"/>
    </row>
    <row r="378" spans="1:1" ht="14.25" customHeight="1" x14ac:dyDescent="0.25">
      <c r="A378" s="78"/>
    </row>
    <row r="379" spans="1:1" ht="14.25" customHeight="1" x14ac:dyDescent="0.25">
      <c r="A379" s="78"/>
    </row>
    <row r="380" spans="1:1" ht="14.25" customHeight="1" x14ac:dyDescent="0.25">
      <c r="A380" s="78"/>
    </row>
    <row r="381" spans="1:1" ht="14.25" customHeight="1" x14ac:dyDescent="0.25">
      <c r="A381" s="78"/>
    </row>
    <row r="382" spans="1:1" ht="14.25" customHeight="1" x14ac:dyDescent="0.25">
      <c r="A382" s="78"/>
    </row>
    <row r="383" spans="1:1" ht="14.25" customHeight="1" x14ac:dyDescent="0.25">
      <c r="A383" s="78"/>
    </row>
    <row r="384" spans="1:1" ht="14.25" customHeight="1" x14ac:dyDescent="0.25">
      <c r="A384" s="78"/>
    </row>
    <row r="385" spans="1:1" ht="14.25" customHeight="1" x14ac:dyDescent="0.25">
      <c r="A385" s="78"/>
    </row>
    <row r="386" spans="1:1" ht="14.25" customHeight="1" x14ac:dyDescent="0.25">
      <c r="A386" s="78"/>
    </row>
    <row r="387" spans="1:1" ht="14.25" customHeight="1" x14ac:dyDescent="0.25">
      <c r="A387" s="78"/>
    </row>
    <row r="388" spans="1:1" ht="14.25" customHeight="1" x14ac:dyDescent="0.25">
      <c r="A388" s="78"/>
    </row>
    <row r="389" spans="1:1" ht="14.25" customHeight="1" x14ac:dyDescent="0.25">
      <c r="A389" s="78"/>
    </row>
    <row r="390" spans="1:1" ht="14.25" customHeight="1" x14ac:dyDescent="0.25">
      <c r="A390" s="78"/>
    </row>
    <row r="391" spans="1:1" ht="14.25" customHeight="1" x14ac:dyDescent="0.25">
      <c r="A391" s="78"/>
    </row>
    <row r="392" spans="1:1" ht="14.25" customHeight="1" x14ac:dyDescent="0.25">
      <c r="A392" s="78"/>
    </row>
    <row r="393" spans="1:1" ht="14.25" customHeight="1" x14ac:dyDescent="0.25">
      <c r="A393" s="78"/>
    </row>
    <row r="394" spans="1:1" ht="14.25" customHeight="1" x14ac:dyDescent="0.25">
      <c r="A394" s="78"/>
    </row>
    <row r="395" spans="1:1" ht="14.25" customHeight="1" x14ac:dyDescent="0.25">
      <c r="A395" s="78"/>
    </row>
    <row r="396" spans="1:1" ht="14.25" customHeight="1" x14ac:dyDescent="0.25">
      <c r="A396" s="78"/>
    </row>
    <row r="397" spans="1:1" ht="14.25" customHeight="1" x14ac:dyDescent="0.25">
      <c r="A397" s="78"/>
    </row>
    <row r="398" spans="1:1" ht="14.25" customHeight="1" x14ac:dyDescent="0.25">
      <c r="A398" s="78"/>
    </row>
    <row r="399" spans="1:1" ht="14.25" customHeight="1" x14ac:dyDescent="0.25">
      <c r="A399" s="78"/>
    </row>
    <row r="400" spans="1:1" ht="14.25" customHeight="1" x14ac:dyDescent="0.25">
      <c r="A400" s="78"/>
    </row>
    <row r="401" spans="1:1" ht="14.25" customHeight="1" x14ac:dyDescent="0.25">
      <c r="A401" s="78"/>
    </row>
    <row r="402" spans="1:1" ht="14.25" customHeight="1" x14ac:dyDescent="0.25">
      <c r="A402" s="78"/>
    </row>
    <row r="403" spans="1:1" ht="14.25" customHeight="1" x14ac:dyDescent="0.25">
      <c r="A403" s="78"/>
    </row>
    <row r="404" spans="1:1" ht="14.25" customHeight="1" x14ac:dyDescent="0.25">
      <c r="A404" s="78"/>
    </row>
    <row r="405" spans="1:1" ht="14.25" customHeight="1" x14ac:dyDescent="0.25">
      <c r="A405" s="78"/>
    </row>
    <row r="406" spans="1:1" ht="14.25" customHeight="1" x14ac:dyDescent="0.25">
      <c r="A406" s="78"/>
    </row>
    <row r="407" spans="1:1" ht="14.25" customHeight="1" x14ac:dyDescent="0.25">
      <c r="A407" s="78"/>
    </row>
    <row r="408" spans="1:1" ht="14.25" customHeight="1" x14ac:dyDescent="0.25">
      <c r="A408" s="78"/>
    </row>
    <row r="409" spans="1:1" ht="14.25" customHeight="1" x14ac:dyDescent="0.25">
      <c r="A409" s="78"/>
    </row>
    <row r="410" spans="1:1" ht="14.25" customHeight="1" x14ac:dyDescent="0.25">
      <c r="A410" s="78"/>
    </row>
    <row r="411" spans="1:1" ht="14.25" customHeight="1" x14ac:dyDescent="0.25">
      <c r="A411" s="78"/>
    </row>
    <row r="412" spans="1:1" ht="14.25" customHeight="1" x14ac:dyDescent="0.25">
      <c r="A412" s="78"/>
    </row>
    <row r="413" spans="1:1" ht="14.25" customHeight="1" x14ac:dyDescent="0.25">
      <c r="A413" s="78"/>
    </row>
    <row r="414" spans="1:1" ht="14.25" customHeight="1" x14ac:dyDescent="0.25">
      <c r="A414" s="78"/>
    </row>
    <row r="415" spans="1:1" ht="14.25" customHeight="1" x14ac:dyDescent="0.25">
      <c r="A415" s="78"/>
    </row>
    <row r="416" spans="1:1" ht="14.25" customHeight="1" x14ac:dyDescent="0.25">
      <c r="A416" s="78"/>
    </row>
    <row r="417" spans="1:1" ht="14.25" customHeight="1" x14ac:dyDescent="0.25">
      <c r="A417" s="78"/>
    </row>
    <row r="418" spans="1:1" ht="14.25" customHeight="1" x14ac:dyDescent="0.25">
      <c r="A418" s="78"/>
    </row>
    <row r="419" spans="1:1" ht="14.25" customHeight="1" x14ac:dyDescent="0.25">
      <c r="A419" s="78"/>
    </row>
    <row r="420" spans="1:1" ht="14.25" customHeight="1" x14ac:dyDescent="0.25">
      <c r="A420" s="78"/>
    </row>
    <row r="421" spans="1:1" ht="14.25" customHeight="1" x14ac:dyDescent="0.25">
      <c r="A421" s="78"/>
    </row>
    <row r="422" spans="1:1" ht="14.25" customHeight="1" x14ac:dyDescent="0.25">
      <c r="A422" s="78"/>
    </row>
    <row r="423" spans="1:1" ht="14.25" customHeight="1" x14ac:dyDescent="0.25">
      <c r="A423" s="78"/>
    </row>
    <row r="424" spans="1:1" ht="14.25" customHeight="1" x14ac:dyDescent="0.25">
      <c r="A424" s="78"/>
    </row>
    <row r="425" spans="1:1" ht="14.25" customHeight="1" x14ac:dyDescent="0.25">
      <c r="A425" s="78"/>
    </row>
    <row r="426" spans="1:1" ht="14.25" customHeight="1" x14ac:dyDescent="0.25">
      <c r="A426" s="78"/>
    </row>
    <row r="427" spans="1:1" ht="14.25" customHeight="1" x14ac:dyDescent="0.25">
      <c r="A427" s="78"/>
    </row>
    <row r="428" spans="1:1" ht="14.25" customHeight="1" x14ac:dyDescent="0.25">
      <c r="A428" s="78"/>
    </row>
    <row r="429" spans="1:1" ht="14.25" customHeight="1" x14ac:dyDescent="0.25">
      <c r="A429" s="78"/>
    </row>
    <row r="430" spans="1:1" ht="14.25" customHeight="1" x14ac:dyDescent="0.25">
      <c r="A430" s="78"/>
    </row>
    <row r="431" spans="1:1" ht="14.25" customHeight="1" x14ac:dyDescent="0.25">
      <c r="A431" s="78"/>
    </row>
    <row r="432" spans="1:1" ht="14.25" customHeight="1" x14ac:dyDescent="0.25">
      <c r="A432" s="78"/>
    </row>
    <row r="433" spans="1:1" ht="14.25" customHeight="1" x14ac:dyDescent="0.25">
      <c r="A433" s="78"/>
    </row>
    <row r="434" spans="1:1" ht="14.25" customHeight="1" x14ac:dyDescent="0.25">
      <c r="A434" s="78"/>
    </row>
    <row r="435" spans="1:1" ht="14.25" customHeight="1" x14ac:dyDescent="0.25">
      <c r="A435" s="78"/>
    </row>
    <row r="436" spans="1:1" ht="14.25" customHeight="1" x14ac:dyDescent="0.25">
      <c r="A436" s="78"/>
    </row>
    <row r="437" spans="1:1" ht="14.25" customHeight="1" x14ac:dyDescent="0.25">
      <c r="A437" s="78"/>
    </row>
    <row r="438" spans="1:1" ht="14.25" customHeight="1" x14ac:dyDescent="0.25">
      <c r="A438" s="78"/>
    </row>
    <row r="439" spans="1:1" ht="14.25" customHeight="1" x14ac:dyDescent="0.25">
      <c r="A439" s="78"/>
    </row>
    <row r="440" spans="1:1" ht="14.25" customHeight="1" x14ac:dyDescent="0.25">
      <c r="A440" s="78"/>
    </row>
    <row r="441" spans="1:1" ht="14.25" customHeight="1" x14ac:dyDescent="0.25">
      <c r="A441" s="78"/>
    </row>
    <row r="442" spans="1:1" ht="14.25" customHeight="1" x14ac:dyDescent="0.25">
      <c r="A442" s="78"/>
    </row>
    <row r="443" spans="1:1" ht="14.25" customHeight="1" x14ac:dyDescent="0.25">
      <c r="A443" s="78"/>
    </row>
    <row r="444" spans="1:1" ht="14.25" customHeight="1" x14ac:dyDescent="0.25">
      <c r="A444" s="78"/>
    </row>
    <row r="445" spans="1:1" ht="14.25" customHeight="1" x14ac:dyDescent="0.25">
      <c r="A445" s="78"/>
    </row>
    <row r="446" spans="1:1" ht="14.25" customHeight="1" x14ac:dyDescent="0.25">
      <c r="A446" s="78"/>
    </row>
    <row r="447" spans="1:1" ht="14.25" customHeight="1" x14ac:dyDescent="0.25">
      <c r="A447" s="78"/>
    </row>
    <row r="448" spans="1:1" ht="14.25" customHeight="1" x14ac:dyDescent="0.25">
      <c r="A448" s="78"/>
    </row>
    <row r="449" spans="1:1" ht="14.25" customHeight="1" x14ac:dyDescent="0.25">
      <c r="A449" s="78"/>
    </row>
    <row r="450" spans="1:1" ht="14.25" customHeight="1" x14ac:dyDescent="0.25">
      <c r="A450" s="78"/>
    </row>
    <row r="451" spans="1:1" ht="14.25" customHeight="1" x14ac:dyDescent="0.25">
      <c r="A451" s="78"/>
    </row>
    <row r="452" spans="1:1" ht="14.25" customHeight="1" x14ac:dyDescent="0.25">
      <c r="A452" s="78"/>
    </row>
    <row r="453" spans="1:1" ht="14.25" customHeight="1" x14ac:dyDescent="0.25">
      <c r="A453" s="78"/>
    </row>
    <row r="454" spans="1:1" ht="14.25" customHeight="1" x14ac:dyDescent="0.25">
      <c r="A454" s="78"/>
    </row>
    <row r="455" spans="1:1" ht="14.25" customHeight="1" x14ac:dyDescent="0.25">
      <c r="A455" s="78"/>
    </row>
    <row r="456" spans="1:1" ht="14.25" customHeight="1" x14ac:dyDescent="0.25">
      <c r="A456" s="78"/>
    </row>
    <row r="457" spans="1:1" ht="14.25" customHeight="1" x14ac:dyDescent="0.25">
      <c r="A457" s="78"/>
    </row>
    <row r="458" spans="1:1" ht="14.25" customHeight="1" x14ac:dyDescent="0.25">
      <c r="A458" s="78"/>
    </row>
    <row r="459" spans="1:1" ht="14.25" customHeight="1" x14ac:dyDescent="0.25">
      <c r="A459" s="78"/>
    </row>
    <row r="460" spans="1:1" ht="14.25" customHeight="1" x14ac:dyDescent="0.25">
      <c r="A460" s="78"/>
    </row>
    <row r="461" spans="1:1" ht="14.25" customHeight="1" x14ac:dyDescent="0.25">
      <c r="A461" s="78"/>
    </row>
    <row r="462" spans="1:1" ht="14.25" customHeight="1" x14ac:dyDescent="0.25">
      <c r="A462" s="78"/>
    </row>
    <row r="463" spans="1:1" ht="14.25" customHeight="1" x14ac:dyDescent="0.25">
      <c r="A463" s="78"/>
    </row>
    <row r="464" spans="1:1" ht="14.25" customHeight="1" x14ac:dyDescent="0.25">
      <c r="A464" s="78"/>
    </row>
    <row r="465" spans="1:1" ht="14.25" customHeight="1" x14ac:dyDescent="0.25">
      <c r="A465" s="78"/>
    </row>
    <row r="466" spans="1:1" ht="14.25" customHeight="1" x14ac:dyDescent="0.25">
      <c r="A466" s="78"/>
    </row>
    <row r="467" spans="1:1" ht="14.25" customHeight="1" x14ac:dyDescent="0.25">
      <c r="A467" s="78"/>
    </row>
    <row r="468" spans="1:1" ht="14.25" customHeight="1" x14ac:dyDescent="0.25">
      <c r="A468" s="78"/>
    </row>
    <row r="469" spans="1:1" ht="14.25" customHeight="1" x14ac:dyDescent="0.25">
      <c r="A469" s="78"/>
    </row>
    <row r="470" spans="1:1" ht="14.25" customHeight="1" x14ac:dyDescent="0.25">
      <c r="A470" s="78"/>
    </row>
    <row r="471" spans="1:1" ht="14.25" customHeight="1" x14ac:dyDescent="0.25">
      <c r="A471" s="78"/>
    </row>
    <row r="472" spans="1:1" ht="14.25" customHeight="1" x14ac:dyDescent="0.25">
      <c r="A472" s="78"/>
    </row>
    <row r="473" spans="1:1" ht="14.25" customHeight="1" x14ac:dyDescent="0.25">
      <c r="A473" s="78"/>
    </row>
    <row r="474" spans="1:1" ht="14.25" customHeight="1" x14ac:dyDescent="0.25">
      <c r="A474" s="78"/>
    </row>
    <row r="475" spans="1:1" ht="14.25" customHeight="1" x14ac:dyDescent="0.25">
      <c r="A475" s="78"/>
    </row>
    <row r="476" spans="1:1" ht="14.25" customHeight="1" x14ac:dyDescent="0.25">
      <c r="A476" s="78"/>
    </row>
    <row r="477" spans="1:1" ht="14.25" customHeight="1" x14ac:dyDescent="0.25">
      <c r="A477" s="78"/>
    </row>
    <row r="478" spans="1:1" ht="14.25" customHeight="1" x14ac:dyDescent="0.25">
      <c r="A478" s="78"/>
    </row>
    <row r="479" spans="1:1" ht="14.25" customHeight="1" x14ac:dyDescent="0.25">
      <c r="A479" s="78"/>
    </row>
    <row r="480" spans="1:1" ht="14.25" customHeight="1" x14ac:dyDescent="0.25">
      <c r="A480" s="78"/>
    </row>
    <row r="481" spans="1:1" ht="14.25" customHeight="1" x14ac:dyDescent="0.25">
      <c r="A481" s="78"/>
    </row>
    <row r="482" spans="1:1" ht="14.25" customHeight="1" x14ac:dyDescent="0.25">
      <c r="A482" s="78"/>
    </row>
    <row r="483" spans="1:1" ht="14.25" customHeight="1" x14ac:dyDescent="0.25">
      <c r="A483" s="78"/>
    </row>
    <row r="484" spans="1:1" ht="14.25" customHeight="1" x14ac:dyDescent="0.25">
      <c r="A484" s="78"/>
    </row>
    <row r="485" spans="1:1" ht="14.25" customHeight="1" x14ac:dyDescent="0.25">
      <c r="A485" s="78"/>
    </row>
    <row r="486" spans="1:1" ht="14.25" customHeight="1" x14ac:dyDescent="0.25">
      <c r="A486" s="78"/>
    </row>
    <row r="487" spans="1:1" ht="14.25" customHeight="1" x14ac:dyDescent="0.25">
      <c r="A487" s="78"/>
    </row>
    <row r="488" spans="1:1" ht="14.25" customHeight="1" x14ac:dyDescent="0.25">
      <c r="A488" s="78"/>
    </row>
    <row r="489" spans="1:1" ht="14.25" customHeight="1" x14ac:dyDescent="0.25">
      <c r="A489" s="78"/>
    </row>
    <row r="490" spans="1:1" ht="14.25" customHeight="1" x14ac:dyDescent="0.25">
      <c r="A490" s="78"/>
    </row>
    <row r="491" spans="1:1" ht="14.25" customHeight="1" x14ac:dyDescent="0.25">
      <c r="A491" s="78"/>
    </row>
    <row r="492" spans="1:1" ht="14.25" customHeight="1" x14ac:dyDescent="0.25">
      <c r="A492" s="78"/>
    </row>
    <row r="493" spans="1:1" ht="14.25" customHeight="1" x14ac:dyDescent="0.25">
      <c r="A493" s="78"/>
    </row>
    <row r="494" spans="1:1" ht="14.25" customHeight="1" x14ac:dyDescent="0.25">
      <c r="A494" s="78"/>
    </row>
    <row r="495" spans="1:1" ht="14.25" customHeight="1" x14ac:dyDescent="0.25">
      <c r="A495" s="78"/>
    </row>
    <row r="496" spans="1:1" ht="14.25" customHeight="1" x14ac:dyDescent="0.25">
      <c r="A496" s="78"/>
    </row>
    <row r="497" spans="1:1" ht="14.25" customHeight="1" x14ac:dyDescent="0.25">
      <c r="A497" s="78"/>
    </row>
    <row r="498" spans="1:1" ht="14.25" customHeight="1" x14ac:dyDescent="0.25">
      <c r="A498" s="78"/>
    </row>
    <row r="499" spans="1:1" ht="14.25" customHeight="1" x14ac:dyDescent="0.25">
      <c r="A499" s="78"/>
    </row>
    <row r="500" spans="1:1" ht="14.25" customHeight="1" x14ac:dyDescent="0.25">
      <c r="A500" s="78"/>
    </row>
    <row r="501" spans="1:1" ht="14.25" customHeight="1" x14ac:dyDescent="0.25">
      <c r="A501" s="78"/>
    </row>
    <row r="502" spans="1:1" ht="14.25" customHeight="1" x14ac:dyDescent="0.25">
      <c r="A502" s="78"/>
    </row>
    <row r="503" spans="1:1" ht="14.25" customHeight="1" x14ac:dyDescent="0.25">
      <c r="A503" s="78"/>
    </row>
    <row r="504" spans="1:1" ht="14.25" customHeight="1" x14ac:dyDescent="0.25">
      <c r="A504" s="78"/>
    </row>
    <row r="505" spans="1:1" ht="14.25" customHeight="1" x14ac:dyDescent="0.25">
      <c r="A505" s="78"/>
    </row>
    <row r="506" spans="1:1" ht="14.25" customHeight="1" x14ac:dyDescent="0.25">
      <c r="A506" s="78"/>
    </row>
    <row r="507" spans="1:1" ht="14.25" customHeight="1" x14ac:dyDescent="0.25">
      <c r="A507" s="78"/>
    </row>
    <row r="508" spans="1:1" ht="14.25" customHeight="1" x14ac:dyDescent="0.25">
      <c r="A508" s="78"/>
    </row>
    <row r="509" spans="1:1" ht="14.25" customHeight="1" x14ac:dyDescent="0.25">
      <c r="A509" s="78"/>
    </row>
    <row r="510" spans="1:1" ht="14.25" customHeight="1" x14ac:dyDescent="0.25">
      <c r="A510" s="78"/>
    </row>
    <row r="511" spans="1:1" ht="14.25" customHeight="1" x14ac:dyDescent="0.25">
      <c r="A511" s="78"/>
    </row>
    <row r="512" spans="1:1" ht="14.25" customHeight="1" x14ac:dyDescent="0.25">
      <c r="A512" s="78"/>
    </row>
    <row r="513" spans="1:1" ht="14.25" customHeight="1" x14ac:dyDescent="0.25">
      <c r="A513" s="78"/>
    </row>
    <row r="514" spans="1:1" ht="14.25" customHeight="1" x14ac:dyDescent="0.25">
      <c r="A514" s="78"/>
    </row>
    <row r="515" spans="1:1" ht="14.25" customHeight="1" x14ac:dyDescent="0.25">
      <c r="A515" s="78"/>
    </row>
    <row r="516" spans="1:1" ht="14.25" customHeight="1" x14ac:dyDescent="0.25">
      <c r="A516" s="78"/>
    </row>
    <row r="517" spans="1:1" ht="14.25" customHeight="1" x14ac:dyDescent="0.25">
      <c r="A517" s="78"/>
    </row>
    <row r="518" spans="1:1" ht="14.25" customHeight="1" x14ac:dyDescent="0.25">
      <c r="A518" s="78"/>
    </row>
    <row r="519" spans="1:1" ht="14.25" customHeight="1" x14ac:dyDescent="0.25">
      <c r="A519" s="78"/>
    </row>
    <row r="520" spans="1:1" ht="14.25" customHeight="1" x14ac:dyDescent="0.25">
      <c r="A520" s="78"/>
    </row>
    <row r="521" spans="1:1" ht="14.25" customHeight="1" x14ac:dyDescent="0.25">
      <c r="A521" s="78"/>
    </row>
    <row r="522" spans="1:1" ht="14.25" customHeight="1" x14ac:dyDescent="0.25">
      <c r="A522" s="78"/>
    </row>
    <row r="523" spans="1:1" ht="14.25" customHeight="1" x14ac:dyDescent="0.25">
      <c r="A523" s="78"/>
    </row>
    <row r="524" spans="1:1" ht="14.25" customHeight="1" x14ac:dyDescent="0.25">
      <c r="A524" s="78"/>
    </row>
    <row r="525" spans="1:1" ht="14.25" customHeight="1" x14ac:dyDescent="0.25">
      <c r="A525" s="78"/>
    </row>
    <row r="526" spans="1:1" ht="14.25" customHeight="1" x14ac:dyDescent="0.25">
      <c r="A526" s="78"/>
    </row>
    <row r="527" spans="1:1" ht="14.25" customHeight="1" x14ac:dyDescent="0.25">
      <c r="A527" s="78"/>
    </row>
    <row r="528" spans="1:1" ht="14.25" customHeight="1" x14ac:dyDescent="0.25">
      <c r="A528" s="78"/>
    </row>
    <row r="529" spans="1:1" ht="14.25" customHeight="1" x14ac:dyDescent="0.25">
      <c r="A529" s="78"/>
    </row>
    <row r="530" spans="1:1" ht="14.25" customHeight="1" x14ac:dyDescent="0.25">
      <c r="A530" s="78"/>
    </row>
    <row r="531" spans="1:1" ht="14.25" customHeight="1" x14ac:dyDescent="0.25">
      <c r="A531" s="78"/>
    </row>
    <row r="532" spans="1:1" ht="14.25" customHeight="1" x14ac:dyDescent="0.25">
      <c r="A532" s="78"/>
    </row>
    <row r="533" spans="1:1" ht="14.25" customHeight="1" x14ac:dyDescent="0.25">
      <c r="A533" s="78"/>
    </row>
    <row r="534" spans="1:1" ht="14.25" customHeight="1" x14ac:dyDescent="0.25">
      <c r="A534" s="78"/>
    </row>
    <row r="535" spans="1:1" ht="14.25" customHeight="1" x14ac:dyDescent="0.25">
      <c r="A535" s="78"/>
    </row>
    <row r="536" spans="1:1" ht="14.25" customHeight="1" x14ac:dyDescent="0.25">
      <c r="A536" s="78"/>
    </row>
    <row r="537" spans="1:1" ht="14.25" customHeight="1" x14ac:dyDescent="0.25">
      <c r="A537" s="78"/>
    </row>
    <row r="538" spans="1:1" ht="14.25" customHeight="1" x14ac:dyDescent="0.25">
      <c r="A538" s="78"/>
    </row>
    <row r="539" spans="1:1" ht="14.25" customHeight="1" x14ac:dyDescent="0.25">
      <c r="A539" s="78"/>
    </row>
    <row r="540" spans="1:1" ht="14.25" customHeight="1" x14ac:dyDescent="0.25">
      <c r="A540" s="78"/>
    </row>
    <row r="541" spans="1:1" ht="14.25" customHeight="1" x14ac:dyDescent="0.25">
      <c r="A541" s="78"/>
    </row>
    <row r="542" spans="1:1" ht="14.25" customHeight="1" x14ac:dyDescent="0.25">
      <c r="A542" s="78"/>
    </row>
    <row r="543" spans="1:1" ht="14.25" customHeight="1" x14ac:dyDescent="0.25">
      <c r="A543" s="78"/>
    </row>
    <row r="544" spans="1:1" ht="14.25" customHeight="1" x14ac:dyDescent="0.25">
      <c r="A544" s="78"/>
    </row>
    <row r="545" spans="1:1" ht="14.25" customHeight="1" x14ac:dyDescent="0.25">
      <c r="A545" s="78"/>
    </row>
    <row r="546" spans="1:1" ht="14.25" customHeight="1" x14ac:dyDescent="0.25">
      <c r="A546" s="78"/>
    </row>
    <row r="547" spans="1:1" ht="14.25" customHeight="1" x14ac:dyDescent="0.25">
      <c r="A547" s="78"/>
    </row>
    <row r="548" spans="1:1" ht="14.25" customHeight="1" x14ac:dyDescent="0.25">
      <c r="A548" s="78"/>
    </row>
    <row r="549" spans="1:1" ht="14.25" customHeight="1" x14ac:dyDescent="0.25">
      <c r="A549" s="78"/>
    </row>
    <row r="550" spans="1:1" ht="14.25" customHeight="1" x14ac:dyDescent="0.25">
      <c r="A550" s="78"/>
    </row>
    <row r="551" spans="1:1" ht="14.25" customHeight="1" x14ac:dyDescent="0.25">
      <c r="A551" s="78"/>
    </row>
    <row r="552" spans="1:1" ht="14.25" customHeight="1" x14ac:dyDescent="0.25">
      <c r="A552" s="78"/>
    </row>
    <row r="553" spans="1:1" ht="14.25" customHeight="1" x14ac:dyDescent="0.25">
      <c r="A553" s="78"/>
    </row>
    <row r="554" spans="1:1" ht="14.25" customHeight="1" x14ac:dyDescent="0.25">
      <c r="A554" s="78"/>
    </row>
    <row r="555" spans="1:1" ht="14.25" customHeight="1" x14ac:dyDescent="0.25">
      <c r="A555" s="78"/>
    </row>
    <row r="556" spans="1:1" ht="14.25" customHeight="1" x14ac:dyDescent="0.25">
      <c r="A556" s="78"/>
    </row>
    <row r="557" spans="1:1" ht="14.25" customHeight="1" x14ac:dyDescent="0.25">
      <c r="A557" s="78"/>
    </row>
    <row r="558" spans="1:1" ht="14.25" customHeight="1" x14ac:dyDescent="0.25">
      <c r="A558" s="78"/>
    </row>
    <row r="559" spans="1:1" ht="14.25" customHeight="1" x14ac:dyDescent="0.25">
      <c r="A559" s="78"/>
    </row>
    <row r="560" spans="1:1" ht="14.25" customHeight="1" x14ac:dyDescent="0.25">
      <c r="A560" s="78"/>
    </row>
    <row r="561" spans="1:1" ht="14.25" customHeight="1" x14ac:dyDescent="0.25">
      <c r="A561" s="78"/>
    </row>
    <row r="562" spans="1:1" ht="14.25" customHeight="1" x14ac:dyDescent="0.25">
      <c r="A562" s="78"/>
    </row>
    <row r="563" spans="1:1" ht="14.25" customHeight="1" x14ac:dyDescent="0.25">
      <c r="A563" s="78"/>
    </row>
    <row r="564" spans="1:1" ht="14.25" customHeight="1" x14ac:dyDescent="0.25">
      <c r="A564" s="78"/>
    </row>
    <row r="565" spans="1:1" ht="14.25" customHeight="1" x14ac:dyDescent="0.25">
      <c r="A565" s="78"/>
    </row>
    <row r="566" spans="1:1" ht="14.25" customHeight="1" x14ac:dyDescent="0.25">
      <c r="A566" s="78"/>
    </row>
    <row r="567" spans="1:1" ht="14.25" customHeight="1" x14ac:dyDescent="0.25">
      <c r="A567" s="78"/>
    </row>
    <row r="568" spans="1:1" ht="14.25" customHeight="1" x14ac:dyDescent="0.25">
      <c r="A568" s="78"/>
    </row>
    <row r="569" spans="1:1" ht="14.25" customHeight="1" x14ac:dyDescent="0.25">
      <c r="A569" s="78"/>
    </row>
    <row r="570" spans="1:1" ht="14.25" customHeight="1" x14ac:dyDescent="0.25">
      <c r="A570" s="78"/>
    </row>
    <row r="571" spans="1:1" ht="14.25" customHeight="1" x14ac:dyDescent="0.25">
      <c r="A571" s="78"/>
    </row>
    <row r="572" spans="1:1" ht="14.25" customHeight="1" x14ac:dyDescent="0.25">
      <c r="A572" s="78"/>
    </row>
    <row r="573" spans="1:1" ht="14.25" customHeight="1" x14ac:dyDescent="0.25">
      <c r="A573" s="78"/>
    </row>
    <row r="574" spans="1:1" ht="14.25" customHeight="1" x14ac:dyDescent="0.25">
      <c r="A574" s="78"/>
    </row>
    <row r="575" spans="1:1" ht="14.25" customHeight="1" x14ac:dyDescent="0.25">
      <c r="A575" s="78"/>
    </row>
    <row r="576" spans="1:1" ht="14.25" customHeight="1" x14ac:dyDescent="0.25">
      <c r="A576" s="78"/>
    </row>
    <row r="577" spans="1:1" ht="14.25" customHeight="1" x14ac:dyDescent="0.25">
      <c r="A577" s="78"/>
    </row>
    <row r="578" spans="1:1" ht="14.25" customHeight="1" x14ac:dyDescent="0.25">
      <c r="A578" s="78"/>
    </row>
    <row r="579" spans="1:1" ht="14.25" customHeight="1" x14ac:dyDescent="0.25">
      <c r="A579" s="78"/>
    </row>
    <row r="580" spans="1:1" ht="14.25" customHeight="1" x14ac:dyDescent="0.25">
      <c r="A580" s="78"/>
    </row>
    <row r="581" spans="1:1" ht="14.25" customHeight="1" x14ac:dyDescent="0.25">
      <c r="A581" s="78"/>
    </row>
    <row r="582" spans="1:1" ht="14.25" customHeight="1" x14ac:dyDescent="0.25">
      <c r="A582" s="78"/>
    </row>
    <row r="583" spans="1:1" ht="14.25" customHeight="1" x14ac:dyDescent="0.25">
      <c r="A583" s="78"/>
    </row>
    <row r="584" spans="1:1" ht="14.25" customHeight="1" x14ac:dyDescent="0.25">
      <c r="A584" s="78"/>
    </row>
    <row r="585" spans="1:1" ht="14.25" customHeight="1" x14ac:dyDescent="0.25">
      <c r="A585" s="78"/>
    </row>
    <row r="586" spans="1:1" ht="14.25" customHeight="1" x14ac:dyDescent="0.25">
      <c r="A586" s="78"/>
    </row>
    <row r="587" spans="1:1" ht="14.25" customHeight="1" x14ac:dyDescent="0.25">
      <c r="A587" s="78"/>
    </row>
    <row r="588" spans="1:1" ht="14.25" customHeight="1" x14ac:dyDescent="0.25">
      <c r="A588" s="78"/>
    </row>
    <row r="589" spans="1:1" ht="14.25" customHeight="1" x14ac:dyDescent="0.25">
      <c r="A589" s="78"/>
    </row>
    <row r="590" spans="1:1" ht="14.25" customHeight="1" x14ac:dyDescent="0.25">
      <c r="A590" s="78"/>
    </row>
    <row r="591" spans="1:1" ht="14.25" customHeight="1" x14ac:dyDescent="0.25">
      <c r="A591" s="78"/>
    </row>
    <row r="592" spans="1:1" ht="14.25" customHeight="1" x14ac:dyDescent="0.25">
      <c r="A592" s="78"/>
    </row>
    <row r="593" spans="1:1" ht="14.25" customHeight="1" x14ac:dyDescent="0.25">
      <c r="A593" s="78"/>
    </row>
    <row r="594" spans="1:1" ht="14.25" customHeight="1" x14ac:dyDescent="0.25">
      <c r="A594" s="78"/>
    </row>
    <row r="595" spans="1:1" ht="14.25" customHeight="1" x14ac:dyDescent="0.25">
      <c r="A595" s="78"/>
    </row>
    <row r="596" spans="1:1" ht="14.25" customHeight="1" x14ac:dyDescent="0.25">
      <c r="A596" s="78"/>
    </row>
    <row r="597" spans="1:1" ht="14.25" customHeight="1" x14ac:dyDescent="0.25">
      <c r="A597" s="78"/>
    </row>
    <row r="598" spans="1:1" ht="14.25" customHeight="1" x14ac:dyDescent="0.25">
      <c r="A598" s="78"/>
    </row>
    <row r="599" spans="1:1" ht="14.25" customHeight="1" x14ac:dyDescent="0.25">
      <c r="A599" s="78"/>
    </row>
    <row r="600" spans="1:1" ht="14.25" customHeight="1" x14ac:dyDescent="0.25">
      <c r="A600" s="78"/>
    </row>
    <row r="601" spans="1:1" ht="14.25" customHeight="1" x14ac:dyDescent="0.25">
      <c r="A601" s="78"/>
    </row>
    <row r="602" spans="1:1" ht="14.25" customHeight="1" x14ac:dyDescent="0.25">
      <c r="A602" s="78"/>
    </row>
    <row r="603" spans="1:1" ht="14.25" customHeight="1" x14ac:dyDescent="0.25">
      <c r="A603" s="78"/>
    </row>
    <row r="604" spans="1:1" ht="14.25" customHeight="1" x14ac:dyDescent="0.25">
      <c r="A604" s="78"/>
    </row>
    <row r="605" spans="1:1" ht="14.25" customHeight="1" x14ac:dyDescent="0.25">
      <c r="A605" s="78"/>
    </row>
    <row r="606" spans="1:1" ht="14.25" customHeight="1" x14ac:dyDescent="0.25">
      <c r="A606" s="78"/>
    </row>
    <row r="607" spans="1:1" ht="14.25" customHeight="1" x14ac:dyDescent="0.25">
      <c r="A607" s="78"/>
    </row>
    <row r="608" spans="1:1" ht="14.25" customHeight="1" x14ac:dyDescent="0.25">
      <c r="A608" s="78"/>
    </row>
    <row r="609" spans="1:1" ht="14.25" customHeight="1" x14ac:dyDescent="0.25">
      <c r="A609" s="78"/>
    </row>
    <row r="610" spans="1:1" ht="14.25" customHeight="1" x14ac:dyDescent="0.25">
      <c r="A610" s="78"/>
    </row>
    <row r="611" spans="1:1" ht="14.25" customHeight="1" x14ac:dyDescent="0.25">
      <c r="A611" s="78"/>
    </row>
    <row r="612" spans="1:1" ht="14.25" customHeight="1" x14ac:dyDescent="0.25">
      <c r="A612" s="78"/>
    </row>
    <row r="613" spans="1:1" ht="14.25" customHeight="1" x14ac:dyDescent="0.25">
      <c r="A613" s="78"/>
    </row>
    <row r="614" spans="1:1" ht="14.25" customHeight="1" x14ac:dyDescent="0.25">
      <c r="A614" s="78"/>
    </row>
    <row r="615" spans="1:1" ht="14.25" customHeight="1" x14ac:dyDescent="0.25">
      <c r="A615" s="78"/>
    </row>
    <row r="616" spans="1:1" ht="14.25" customHeight="1" x14ac:dyDescent="0.25">
      <c r="A616" s="78"/>
    </row>
    <row r="617" spans="1:1" ht="14.25" customHeight="1" x14ac:dyDescent="0.25">
      <c r="A617" s="78"/>
    </row>
    <row r="618" spans="1:1" ht="14.25" customHeight="1" x14ac:dyDescent="0.25">
      <c r="A618" s="78"/>
    </row>
    <row r="619" spans="1:1" ht="14.25" customHeight="1" x14ac:dyDescent="0.25">
      <c r="A619" s="78"/>
    </row>
    <row r="620" spans="1:1" ht="14.25" customHeight="1" x14ac:dyDescent="0.25">
      <c r="A620" s="78"/>
    </row>
    <row r="621" spans="1:1" ht="14.25" customHeight="1" x14ac:dyDescent="0.25">
      <c r="A621" s="78"/>
    </row>
    <row r="622" spans="1:1" ht="14.25" customHeight="1" x14ac:dyDescent="0.25">
      <c r="A622" s="78"/>
    </row>
    <row r="623" spans="1:1" ht="14.25" customHeight="1" x14ac:dyDescent="0.25">
      <c r="A623" s="78"/>
    </row>
    <row r="624" spans="1:1" ht="14.25" customHeight="1" x14ac:dyDescent="0.25">
      <c r="A624" s="78"/>
    </row>
    <row r="625" spans="1:1" ht="14.25" customHeight="1" x14ac:dyDescent="0.25">
      <c r="A625" s="78"/>
    </row>
    <row r="626" spans="1:1" ht="14.25" customHeight="1" x14ac:dyDescent="0.25">
      <c r="A626" s="78"/>
    </row>
    <row r="627" spans="1:1" ht="14.25" customHeight="1" x14ac:dyDescent="0.25">
      <c r="A627" s="78"/>
    </row>
    <row r="628" spans="1:1" ht="14.25" customHeight="1" x14ac:dyDescent="0.25">
      <c r="A628" s="78"/>
    </row>
    <row r="629" spans="1:1" ht="14.25" customHeight="1" x14ac:dyDescent="0.25">
      <c r="A629" s="78"/>
    </row>
    <row r="630" spans="1:1" ht="14.25" customHeight="1" x14ac:dyDescent="0.25">
      <c r="A630" s="78"/>
    </row>
    <row r="631" spans="1:1" ht="14.25" customHeight="1" x14ac:dyDescent="0.25">
      <c r="A631" s="78"/>
    </row>
    <row r="632" spans="1:1" ht="14.25" customHeight="1" x14ac:dyDescent="0.25">
      <c r="A632" s="78"/>
    </row>
    <row r="633" spans="1:1" ht="14.25" customHeight="1" x14ac:dyDescent="0.25">
      <c r="A633" s="78"/>
    </row>
    <row r="634" spans="1:1" ht="14.25" customHeight="1" x14ac:dyDescent="0.25">
      <c r="A634" s="78"/>
    </row>
    <row r="635" spans="1:1" ht="14.25" customHeight="1" x14ac:dyDescent="0.25">
      <c r="A635" s="78"/>
    </row>
    <row r="636" spans="1:1" ht="14.25" customHeight="1" x14ac:dyDescent="0.25">
      <c r="A636" s="78"/>
    </row>
    <row r="637" spans="1:1" ht="14.25" customHeight="1" x14ac:dyDescent="0.25">
      <c r="A637" s="78"/>
    </row>
    <row r="638" spans="1:1" ht="14.25" customHeight="1" x14ac:dyDescent="0.25">
      <c r="A638" s="78"/>
    </row>
    <row r="639" spans="1:1" ht="14.25" customHeight="1" x14ac:dyDescent="0.25">
      <c r="A639" s="78"/>
    </row>
    <row r="640" spans="1:1" ht="14.25" customHeight="1" x14ac:dyDescent="0.25">
      <c r="A640" s="78"/>
    </row>
    <row r="641" spans="1:1" ht="14.25" customHeight="1" x14ac:dyDescent="0.25">
      <c r="A641" s="78"/>
    </row>
    <row r="642" spans="1:1" ht="14.25" customHeight="1" x14ac:dyDescent="0.25">
      <c r="A642" s="78"/>
    </row>
    <row r="643" spans="1:1" ht="14.25" customHeight="1" x14ac:dyDescent="0.25">
      <c r="A643" s="78"/>
    </row>
    <row r="644" spans="1:1" ht="14.25" customHeight="1" x14ac:dyDescent="0.25">
      <c r="A644" s="78"/>
    </row>
    <row r="645" spans="1:1" ht="14.25" customHeight="1" x14ac:dyDescent="0.25">
      <c r="A645" s="78"/>
    </row>
    <row r="646" spans="1:1" ht="14.25" customHeight="1" x14ac:dyDescent="0.25">
      <c r="A646" s="78"/>
    </row>
    <row r="647" spans="1:1" ht="14.25" customHeight="1" x14ac:dyDescent="0.25">
      <c r="A647" s="78"/>
    </row>
    <row r="648" spans="1:1" ht="14.25" customHeight="1" x14ac:dyDescent="0.25">
      <c r="A648" s="78"/>
    </row>
    <row r="649" spans="1:1" ht="14.25" customHeight="1" x14ac:dyDescent="0.25">
      <c r="A649" s="78"/>
    </row>
    <row r="650" spans="1:1" ht="14.25" customHeight="1" x14ac:dyDescent="0.25">
      <c r="A650" s="78"/>
    </row>
    <row r="651" spans="1:1" ht="14.25" customHeight="1" x14ac:dyDescent="0.25">
      <c r="A651" s="78"/>
    </row>
    <row r="652" spans="1:1" ht="14.25" customHeight="1" x14ac:dyDescent="0.25">
      <c r="A652" s="78"/>
    </row>
    <row r="653" spans="1:1" ht="14.25" customHeight="1" x14ac:dyDescent="0.25">
      <c r="A653" s="78"/>
    </row>
    <row r="654" spans="1:1" ht="14.25" customHeight="1" x14ac:dyDescent="0.25">
      <c r="A654" s="78"/>
    </row>
    <row r="655" spans="1:1" ht="14.25" customHeight="1" x14ac:dyDescent="0.25">
      <c r="A655" s="78"/>
    </row>
    <row r="656" spans="1:1" ht="14.25" customHeight="1" x14ac:dyDescent="0.25">
      <c r="A656" s="78"/>
    </row>
    <row r="657" spans="1:1" ht="14.25" customHeight="1" x14ac:dyDescent="0.25">
      <c r="A657" s="78"/>
    </row>
    <row r="658" spans="1:1" ht="14.25" customHeight="1" x14ac:dyDescent="0.25">
      <c r="A658" s="78"/>
    </row>
    <row r="659" spans="1:1" ht="14.25" customHeight="1" x14ac:dyDescent="0.25">
      <c r="A659" s="78"/>
    </row>
    <row r="660" spans="1:1" ht="14.25" customHeight="1" x14ac:dyDescent="0.25">
      <c r="A660" s="78"/>
    </row>
    <row r="661" spans="1:1" ht="14.25" customHeight="1" x14ac:dyDescent="0.25">
      <c r="A661" s="78"/>
    </row>
    <row r="662" spans="1:1" ht="14.25" customHeight="1" x14ac:dyDescent="0.25">
      <c r="A662" s="78"/>
    </row>
    <row r="663" spans="1:1" ht="14.25" customHeight="1" x14ac:dyDescent="0.25">
      <c r="A663" s="78"/>
    </row>
    <row r="664" spans="1:1" ht="14.25" customHeight="1" x14ac:dyDescent="0.25">
      <c r="A664" s="78"/>
    </row>
    <row r="665" spans="1:1" ht="14.25" customHeight="1" x14ac:dyDescent="0.25">
      <c r="A665" s="78"/>
    </row>
    <row r="666" spans="1:1" ht="14.25" customHeight="1" x14ac:dyDescent="0.25">
      <c r="A666" s="78"/>
    </row>
    <row r="667" spans="1:1" ht="14.25" customHeight="1" x14ac:dyDescent="0.25">
      <c r="A667" s="78"/>
    </row>
    <row r="668" spans="1:1" ht="14.25" customHeight="1" x14ac:dyDescent="0.25">
      <c r="A668" s="78"/>
    </row>
    <row r="669" spans="1:1" ht="14.25" customHeight="1" x14ac:dyDescent="0.25">
      <c r="A669" s="78"/>
    </row>
    <row r="670" spans="1:1" ht="14.25" customHeight="1" x14ac:dyDescent="0.25">
      <c r="A670" s="78"/>
    </row>
    <row r="671" spans="1:1" ht="14.25" customHeight="1" x14ac:dyDescent="0.25">
      <c r="A671" s="78"/>
    </row>
    <row r="672" spans="1:1" ht="14.25" customHeight="1" x14ac:dyDescent="0.25">
      <c r="A672" s="78"/>
    </row>
    <row r="673" spans="1:1" ht="14.25" customHeight="1" x14ac:dyDescent="0.25">
      <c r="A673" s="78"/>
    </row>
    <row r="674" spans="1:1" ht="14.25" customHeight="1" x14ac:dyDescent="0.25">
      <c r="A674" s="78"/>
    </row>
    <row r="675" spans="1:1" ht="14.25" customHeight="1" x14ac:dyDescent="0.25">
      <c r="A675" s="78"/>
    </row>
    <row r="676" spans="1:1" ht="14.25" customHeight="1" x14ac:dyDescent="0.25">
      <c r="A676" s="78"/>
    </row>
    <row r="677" spans="1:1" ht="14.25" customHeight="1" x14ac:dyDescent="0.25">
      <c r="A677" s="78"/>
    </row>
    <row r="678" spans="1:1" ht="14.25" customHeight="1" x14ac:dyDescent="0.25">
      <c r="A678" s="78"/>
    </row>
    <row r="679" spans="1:1" ht="14.25" customHeight="1" x14ac:dyDescent="0.25">
      <c r="A679" s="78"/>
    </row>
    <row r="680" spans="1:1" ht="14.25" customHeight="1" x14ac:dyDescent="0.25">
      <c r="A680" s="78"/>
    </row>
    <row r="681" spans="1:1" ht="14.25" customHeight="1" x14ac:dyDescent="0.25">
      <c r="A681" s="78"/>
    </row>
    <row r="682" spans="1:1" ht="14.25" customHeight="1" x14ac:dyDescent="0.25">
      <c r="A682" s="78"/>
    </row>
    <row r="683" spans="1:1" ht="14.25" customHeight="1" x14ac:dyDescent="0.25">
      <c r="A683" s="78"/>
    </row>
    <row r="684" spans="1:1" ht="14.25" customHeight="1" x14ac:dyDescent="0.25">
      <c r="A684" s="78"/>
    </row>
    <row r="685" spans="1:1" ht="14.25" customHeight="1" x14ac:dyDescent="0.25">
      <c r="A685" s="78"/>
    </row>
    <row r="686" spans="1:1" ht="14.25" customHeight="1" x14ac:dyDescent="0.25">
      <c r="A686" s="78"/>
    </row>
    <row r="687" spans="1:1" ht="14.25" customHeight="1" x14ac:dyDescent="0.25">
      <c r="A687" s="78"/>
    </row>
    <row r="688" spans="1:1" ht="14.25" customHeight="1" x14ac:dyDescent="0.25">
      <c r="A688" s="78"/>
    </row>
    <row r="689" spans="1:1" ht="14.25" customHeight="1" x14ac:dyDescent="0.25">
      <c r="A689" s="78"/>
    </row>
    <row r="690" spans="1:1" ht="14.25" customHeight="1" x14ac:dyDescent="0.25">
      <c r="A690" s="78"/>
    </row>
    <row r="691" spans="1:1" ht="14.25" customHeight="1" x14ac:dyDescent="0.25">
      <c r="A691" s="78"/>
    </row>
    <row r="692" spans="1:1" ht="14.25" customHeight="1" x14ac:dyDescent="0.25">
      <c r="A692" s="78"/>
    </row>
    <row r="693" spans="1:1" ht="14.25" customHeight="1" x14ac:dyDescent="0.25">
      <c r="A693" s="78"/>
    </row>
    <row r="694" spans="1:1" ht="14.25" customHeight="1" x14ac:dyDescent="0.25">
      <c r="A694" s="78"/>
    </row>
    <row r="695" spans="1:1" ht="14.25" customHeight="1" x14ac:dyDescent="0.25">
      <c r="A695" s="78"/>
    </row>
    <row r="696" spans="1:1" ht="14.25" customHeight="1" x14ac:dyDescent="0.25">
      <c r="A696" s="78"/>
    </row>
    <row r="697" spans="1:1" ht="14.25" customHeight="1" x14ac:dyDescent="0.25">
      <c r="A697" s="78"/>
    </row>
    <row r="698" spans="1:1" ht="14.25" customHeight="1" x14ac:dyDescent="0.25">
      <c r="A698" s="78"/>
    </row>
    <row r="699" spans="1:1" ht="14.25" customHeight="1" x14ac:dyDescent="0.25">
      <c r="A699" s="78"/>
    </row>
    <row r="700" spans="1:1" ht="14.25" customHeight="1" x14ac:dyDescent="0.25">
      <c r="A700" s="78"/>
    </row>
    <row r="701" spans="1:1" ht="14.25" customHeight="1" x14ac:dyDescent="0.25">
      <c r="A701" s="78"/>
    </row>
    <row r="702" spans="1:1" ht="14.25" customHeight="1" x14ac:dyDescent="0.25">
      <c r="A702" s="78"/>
    </row>
    <row r="703" spans="1:1" ht="14.25" customHeight="1" x14ac:dyDescent="0.25">
      <c r="A703" s="78"/>
    </row>
    <row r="704" spans="1:1" ht="14.25" customHeight="1" x14ac:dyDescent="0.25">
      <c r="A704" s="78"/>
    </row>
    <row r="705" spans="1:1" ht="14.25" customHeight="1" x14ac:dyDescent="0.25">
      <c r="A705" s="78"/>
    </row>
    <row r="706" spans="1:1" ht="14.25" customHeight="1" x14ac:dyDescent="0.25">
      <c r="A706" s="78"/>
    </row>
    <row r="707" spans="1:1" ht="14.25" customHeight="1" x14ac:dyDescent="0.25">
      <c r="A707" s="78"/>
    </row>
    <row r="708" spans="1:1" ht="14.25" customHeight="1" x14ac:dyDescent="0.25">
      <c r="A708" s="78"/>
    </row>
    <row r="709" spans="1:1" ht="14.25" customHeight="1" x14ac:dyDescent="0.25">
      <c r="A709" s="78"/>
    </row>
    <row r="710" spans="1:1" ht="14.25" customHeight="1" x14ac:dyDescent="0.25">
      <c r="A710" s="78"/>
    </row>
    <row r="711" spans="1:1" ht="14.25" customHeight="1" x14ac:dyDescent="0.25">
      <c r="A711" s="78"/>
    </row>
    <row r="712" spans="1:1" ht="14.25" customHeight="1" x14ac:dyDescent="0.25">
      <c r="A712" s="78"/>
    </row>
    <row r="713" spans="1:1" ht="14.25" customHeight="1" x14ac:dyDescent="0.25">
      <c r="A713" s="78"/>
    </row>
    <row r="714" spans="1:1" ht="14.25" customHeight="1" x14ac:dyDescent="0.25">
      <c r="A714" s="78"/>
    </row>
    <row r="715" spans="1:1" ht="14.25" customHeight="1" x14ac:dyDescent="0.25">
      <c r="A715" s="78"/>
    </row>
    <row r="716" spans="1:1" ht="14.25" customHeight="1" x14ac:dyDescent="0.25">
      <c r="A716" s="78"/>
    </row>
    <row r="717" spans="1:1" ht="14.25" customHeight="1" x14ac:dyDescent="0.25">
      <c r="A717" s="78"/>
    </row>
    <row r="718" spans="1:1" ht="14.25" customHeight="1" x14ac:dyDescent="0.25">
      <c r="A718" s="78"/>
    </row>
    <row r="719" spans="1:1" ht="14.25" customHeight="1" x14ac:dyDescent="0.25">
      <c r="A719" s="78"/>
    </row>
    <row r="720" spans="1:1" ht="14.25" customHeight="1" x14ac:dyDescent="0.25">
      <c r="A720" s="78"/>
    </row>
    <row r="721" spans="1:1" ht="14.25" customHeight="1" x14ac:dyDescent="0.25">
      <c r="A721" s="78"/>
    </row>
    <row r="722" spans="1:1" ht="14.25" customHeight="1" x14ac:dyDescent="0.25">
      <c r="A722" s="78"/>
    </row>
    <row r="723" spans="1:1" ht="14.25" customHeight="1" x14ac:dyDescent="0.25">
      <c r="A723" s="78"/>
    </row>
    <row r="724" spans="1:1" ht="14.25" customHeight="1" x14ac:dyDescent="0.25">
      <c r="A724" s="78"/>
    </row>
    <row r="725" spans="1:1" ht="14.25" customHeight="1" x14ac:dyDescent="0.25">
      <c r="A725" s="78"/>
    </row>
    <row r="726" spans="1:1" ht="14.25" customHeight="1" x14ac:dyDescent="0.25">
      <c r="A726" s="78"/>
    </row>
    <row r="727" spans="1:1" ht="14.25" customHeight="1" x14ac:dyDescent="0.25">
      <c r="A727" s="78"/>
    </row>
    <row r="728" spans="1:1" ht="14.25" customHeight="1" x14ac:dyDescent="0.25">
      <c r="A728" s="78"/>
    </row>
    <row r="729" spans="1:1" ht="14.25" customHeight="1" x14ac:dyDescent="0.25">
      <c r="A729" s="78"/>
    </row>
    <row r="730" spans="1:1" ht="14.25" customHeight="1" x14ac:dyDescent="0.25">
      <c r="A730" s="78"/>
    </row>
    <row r="731" spans="1:1" ht="14.25" customHeight="1" x14ac:dyDescent="0.25">
      <c r="A731" s="78"/>
    </row>
    <row r="732" spans="1:1" ht="14.25" customHeight="1" x14ac:dyDescent="0.25">
      <c r="A732" s="78"/>
    </row>
    <row r="733" spans="1:1" ht="14.25" customHeight="1" x14ac:dyDescent="0.25">
      <c r="A733" s="78"/>
    </row>
    <row r="734" spans="1:1" ht="14.25" customHeight="1" x14ac:dyDescent="0.25">
      <c r="A734" s="78"/>
    </row>
    <row r="735" spans="1:1" ht="14.25" customHeight="1" x14ac:dyDescent="0.25">
      <c r="A735" s="78"/>
    </row>
    <row r="736" spans="1:1" ht="14.25" customHeight="1" x14ac:dyDescent="0.25">
      <c r="A736" s="78"/>
    </row>
    <row r="737" spans="1:1" ht="14.25" customHeight="1" x14ac:dyDescent="0.25">
      <c r="A737" s="78"/>
    </row>
    <row r="738" spans="1:1" ht="14.25" customHeight="1" x14ac:dyDescent="0.25">
      <c r="A738" s="78"/>
    </row>
    <row r="739" spans="1:1" ht="14.25" customHeight="1" x14ac:dyDescent="0.25">
      <c r="A739" s="78"/>
    </row>
    <row r="740" spans="1:1" ht="14.25" customHeight="1" x14ac:dyDescent="0.25">
      <c r="A740" s="78"/>
    </row>
    <row r="741" spans="1:1" ht="14.25" customHeight="1" x14ac:dyDescent="0.25">
      <c r="A741" s="78"/>
    </row>
    <row r="742" spans="1:1" ht="14.25" customHeight="1" x14ac:dyDescent="0.25">
      <c r="A742" s="78"/>
    </row>
    <row r="743" spans="1:1" ht="14.25" customHeight="1" x14ac:dyDescent="0.25">
      <c r="A743" s="78"/>
    </row>
    <row r="744" spans="1:1" ht="14.25" customHeight="1" x14ac:dyDescent="0.25">
      <c r="A744" s="78"/>
    </row>
    <row r="745" spans="1:1" ht="14.25" customHeight="1" x14ac:dyDescent="0.25">
      <c r="A745" s="78"/>
    </row>
    <row r="746" spans="1:1" ht="14.25" customHeight="1" x14ac:dyDescent="0.25">
      <c r="A746" s="78"/>
    </row>
    <row r="747" spans="1:1" ht="14.25" customHeight="1" x14ac:dyDescent="0.25">
      <c r="A747" s="78"/>
    </row>
    <row r="748" spans="1:1" ht="14.25" customHeight="1" x14ac:dyDescent="0.25">
      <c r="A748" s="78"/>
    </row>
    <row r="749" spans="1:1" ht="14.25" customHeight="1" x14ac:dyDescent="0.25">
      <c r="A749" s="78"/>
    </row>
    <row r="750" spans="1:1" ht="14.25" customHeight="1" x14ac:dyDescent="0.25">
      <c r="A750" s="78"/>
    </row>
    <row r="751" spans="1:1" ht="14.25" customHeight="1" x14ac:dyDescent="0.25">
      <c r="A751" s="78"/>
    </row>
    <row r="752" spans="1:1" ht="14.25" customHeight="1" x14ac:dyDescent="0.25">
      <c r="A752" s="78"/>
    </row>
    <row r="753" spans="1:1" ht="14.25" customHeight="1" x14ac:dyDescent="0.25">
      <c r="A753" s="78"/>
    </row>
    <row r="754" spans="1:1" ht="14.25" customHeight="1" x14ac:dyDescent="0.25">
      <c r="A754" s="78"/>
    </row>
    <row r="755" spans="1:1" ht="14.25" customHeight="1" x14ac:dyDescent="0.25">
      <c r="A755" s="78"/>
    </row>
    <row r="756" spans="1:1" ht="14.25" customHeight="1" x14ac:dyDescent="0.25">
      <c r="A756" s="78"/>
    </row>
    <row r="757" spans="1:1" ht="14.25" customHeight="1" x14ac:dyDescent="0.25">
      <c r="A757" s="78"/>
    </row>
    <row r="758" spans="1:1" ht="14.25" customHeight="1" x14ac:dyDescent="0.25">
      <c r="A758" s="78"/>
    </row>
    <row r="759" spans="1:1" ht="14.25" customHeight="1" x14ac:dyDescent="0.25">
      <c r="A759" s="78"/>
    </row>
    <row r="760" spans="1:1" ht="14.25" customHeight="1" x14ac:dyDescent="0.25">
      <c r="A760" s="78"/>
    </row>
    <row r="761" spans="1:1" ht="14.25" customHeight="1" x14ac:dyDescent="0.25">
      <c r="A761" s="78"/>
    </row>
    <row r="762" spans="1:1" ht="14.25" customHeight="1" x14ac:dyDescent="0.25">
      <c r="A762" s="78"/>
    </row>
    <row r="763" spans="1:1" ht="14.25" customHeight="1" x14ac:dyDescent="0.25">
      <c r="A763" s="78"/>
    </row>
    <row r="764" spans="1:1" ht="14.25" customHeight="1" x14ac:dyDescent="0.25">
      <c r="A764" s="78"/>
    </row>
    <row r="765" spans="1:1" ht="14.25" customHeight="1" x14ac:dyDescent="0.25">
      <c r="A765" s="78"/>
    </row>
    <row r="766" spans="1:1" ht="14.25" customHeight="1" x14ac:dyDescent="0.25">
      <c r="A766" s="78"/>
    </row>
    <row r="767" spans="1:1" ht="14.25" customHeight="1" x14ac:dyDescent="0.25">
      <c r="A767" s="78"/>
    </row>
    <row r="768" spans="1:1" ht="14.25" customHeight="1" x14ac:dyDescent="0.25">
      <c r="A768" s="78"/>
    </row>
    <row r="769" spans="1:1" ht="14.25" customHeight="1" x14ac:dyDescent="0.25">
      <c r="A769" s="78"/>
    </row>
    <row r="770" spans="1:1" ht="14.25" customHeight="1" x14ac:dyDescent="0.25">
      <c r="A770" s="78"/>
    </row>
    <row r="771" spans="1:1" ht="14.25" customHeight="1" x14ac:dyDescent="0.25">
      <c r="A771" s="78"/>
    </row>
    <row r="772" spans="1:1" ht="14.25" customHeight="1" x14ac:dyDescent="0.25">
      <c r="A772" s="78"/>
    </row>
    <row r="773" spans="1:1" ht="14.25" customHeight="1" x14ac:dyDescent="0.25">
      <c r="A773" s="78"/>
    </row>
    <row r="774" spans="1:1" ht="14.25" customHeight="1" x14ac:dyDescent="0.25">
      <c r="A774" s="78"/>
    </row>
    <row r="775" spans="1:1" ht="14.25" customHeight="1" x14ac:dyDescent="0.25">
      <c r="A775" s="78"/>
    </row>
    <row r="776" spans="1:1" ht="14.25" customHeight="1" x14ac:dyDescent="0.25">
      <c r="A776" s="78"/>
    </row>
    <row r="777" spans="1:1" ht="14.25" customHeight="1" x14ac:dyDescent="0.25">
      <c r="A777" s="78"/>
    </row>
    <row r="778" spans="1:1" ht="14.25" customHeight="1" x14ac:dyDescent="0.25">
      <c r="A778" s="78"/>
    </row>
    <row r="779" spans="1:1" ht="14.25" customHeight="1" x14ac:dyDescent="0.25">
      <c r="A779" s="78"/>
    </row>
    <row r="780" spans="1:1" ht="14.25" customHeight="1" x14ac:dyDescent="0.25">
      <c r="A780" s="78"/>
    </row>
    <row r="781" spans="1:1" ht="14.25" customHeight="1" x14ac:dyDescent="0.25">
      <c r="A781" s="78"/>
    </row>
    <row r="782" spans="1:1" ht="14.25" customHeight="1" x14ac:dyDescent="0.25">
      <c r="A782" s="78"/>
    </row>
    <row r="783" spans="1:1" ht="14.25" customHeight="1" x14ac:dyDescent="0.25">
      <c r="A783" s="78"/>
    </row>
    <row r="784" spans="1:1" ht="14.25" customHeight="1" x14ac:dyDescent="0.25">
      <c r="A784" s="78"/>
    </row>
    <row r="785" spans="1:1" ht="14.25" customHeight="1" x14ac:dyDescent="0.25">
      <c r="A785" s="78"/>
    </row>
    <row r="786" spans="1:1" ht="14.25" customHeight="1" x14ac:dyDescent="0.25">
      <c r="A786" s="78"/>
    </row>
    <row r="787" spans="1:1" ht="14.25" customHeight="1" x14ac:dyDescent="0.25">
      <c r="A787" s="78"/>
    </row>
    <row r="788" spans="1:1" ht="14.25" customHeight="1" x14ac:dyDescent="0.25">
      <c r="A788" s="78"/>
    </row>
    <row r="789" spans="1:1" ht="14.25" customHeight="1" x14ac:dyDescent="0.25">
      <c r="A789" s="78"/>
    </row>
    <row r="790" spans="1:1" ht="14.25" customHeight="1" x14ac:dyDescent="0.25">
      <c r="A790" s="78"/>
    </row>
    <row r="791" spans="1:1" ht="14.25" customHeight="1" x14ac:dyDescent="0.25">
      <c r="A791" s="78"/>
    </row>
    <row r="792" spans="1:1" ht="14.25" customHeight="1" x14ac:dyDescent="0.25">
      <c r="A792" s="78"/>
    </row>
    <row r="793" spans="1:1" ht="14.25" customHeight="1" x14ac:dyDescent="0.25">
      <c r="A793" s="78"/>
    </row>
    <row r="794" spans="1:1" ht="14.25" customHeight="1" x14ac:dyDescent="0.25">
      <c r="A794" s="78"/>
    </row>
    <row r="795" spans="1:1" ht="14.25" customHeight="1" x14ac:dyDescent="0.25">
      <c r="A795" s="78"/>
    </row>
    <row r="796" spans="1:1" ht="14.25" customHeight="1" x14ac:dyDescent="0.25">
      <c r="A796" s="78"/>
    </row>
    <row r="797" spans="1:1" ht="14.25" customHeight="1" x14ac:dyDescent="0.25">
      <c r="A797" s="78"/>
    </row>
    <row r="798" spans="1:1" ht="14.25" customHeight="1" x14ac:dyDescent="0.25">
      <c r="A798" s="78"/>
    </row>
    <row r="799" spans="1:1" ht="14.25" customHeight="1" x14ac:dyDescent="0.25">
      <c r="A799" s="78"/>
    </row>
    <row r="800" spans="1:1" ht="14.25" customHeight="1" x14ac:dyDescent="0.25">
      <c r="A800" s="78"/>
    </row>
    <row r="801" spans="1:1" ht="14.25" customHeight="1" x14ac:dyDescent="0.25">
      <c r="A801" s="78"/>
    </row>
    <row r="802" spans="1:1" ht="14.25" customHeight="1" x14ac:dyDescent="0.25">
      <c r="A802" s="78"/>
    </row>
    <row r="803" spans="1:1" ht="14.25" customHeight="1" x14ac:dyDescent="0.25">
      <c r="A803" s="78"/>
    </row>
    <row r="804" spans="1:1" ht="14.25" customHeight="1" x14ac:dyDescent="0.25">
      <c r="A804" s="78"/>
    </row>
    <row r="805" spans="1:1" ht="14.25" customHeight="1" x14ac:dyDescent="0.25">
      <c r="A805" s="78"/>
    </row>
    <row r="806" spans="1:1" ht="14.25" customHeight="1" x14ac:dyDescent="0.25">
      <c r="A806" s="78"/>
    </row>
    <row r="807" spans="1:1" ht="14.25" customHeight="1" x14ac:dyDescent="0.25">
      <c r="A807" s="78"/>
    </row>
    <row r="808" spans="1:1" ht="14.25" customHeight="1" x14ac:dyDescent="0.25">
      <c r="A808" s="78"/>
    </row>
    <row r="809" spans="1:1" ht="14.25" customHeight="1" x14ac:dyDescent="0.25">
      <c r="A809" s="78"/>
    </row>
    <row r="810" spans="1:1" ht="14.25" customHeight="1" x14ac:dyDescent="0.25">
      <c r="A810" s="78"/>
    </row>
    <row r="811" spans="1:1" ht="14.25" customHeight="1" x14ac:dyDescent="0.25">
      <c r="A811" s="78"/>
    </row>
    <row r="812" spans="1:1" ht="14.25" customHeight="1" x14ac:dyDescent="0.25">
      <c r="A812" s="78"/>
    </row>
    <row r="813" spans="1:1" ht="14.25" customHeight="1" x14ac:dyDescent="0.25">
      <c r="A813" s="78"/>
    </row>
    <row r="814" spans="1:1" ht="14.25" customHeight="1" x14ac:dyDescent="0.25">
      <c r="A814" s="78"/>
    </row>
    <row r="815" spans="1:1" ht="14.25" customHeight="1" x14ac:dyDescent="0.25">
      <c r="A815" s="78"/>
    </row>
    <row r="816" spans="1:1" ht="14.25" customHeight="1" x14ac:dyDescent="0.25">
      <c r="A816" s="78"/>
    </row>
    <row r="817" spans="1:1" ht="14.25" customHeight="1" x14ac:dyDescent="0.25">
      <c r="A817" s="78"/>
    </row>
    <row r="818" spans="1:1" ht="14.25" customHeight="1" x14ac:dyDescent="0.25">
      <c r="A818" s="78"/>
    </row>
    <row r="819" spans="1:1" ht="14.25" customHeight="1" x14ac:dyDescent="0.25">
      <c r="A819" s="78"/>
    </row>
    <row r="820" spans="1:1" ht="14.25" customHeight="1" x14ac:dyDescent="0.25">
      <c r="A820" s="78"/>
    </row>
    <row r="821" spans="1:1" ht="14.25" customHeight="1" x14ac:dyDescent="0.25">
      <c r="A821" s="78"/>
    </row>
    <row r="822" spans="1:1" ht="14.25" customHeight="1" x14ac:dyDescent="0.25">
      <c r="A822" s="78"/>
    </row>
    <row r="823" spans="1:1" ht="14.25" customHeight="1" x14ac:dyDescent="0.25">
      <c r="A823" s="78"/>
    </row>
    <row r="824" spans="1:1" ht="14.25" customHeight="1" x14ac:dyDescent="0.25">
      <c r="A824" s="78"/>
    </row>
    <row r="825" spans="1:1" ht="14.25" customHeight="1" x14ac:dyDescent="0.25">
      <c r="A825" s="78"/>
    </row>
    <row r="826" spans="1:1" ht="14.25" customHeight="1" x14ac:dyDescent="0.25">
      <c r="A826" s="78"/>
    </row>
    <row r="827" spans="1:1" ht="14.25" customHeight="1" x14ac:dyDescent="0.25">
      <c r="A827" s="78"/>
    </row>
    <row r="828" spans="1:1" ht="14.25" customHeight="1" x14ac:dyDescent="0.25">
      <c r="A828" s="78"/>
    </row>
    <row r="829" spans="1:1" ht="14.25" customHeight="1" x14ac:dyDescent="0.25">
      <c r="A829" s="78"/>
    </row>
    <row r="830" spans="1:1" ht="14.25" customHeight="1" x14ac:dyDescent="0.25">
      <c r="A830" s="78"/>
    </row>
    <row r="831" spans="1:1" ht="14.25" customHeight="1" x14ac:dyDescent="0.25">
      <c r="A831" s="78"/>
    </row>
    <row r="832" spans="1:1" ht="14.25" customHeight="1" x14ac:dyDescent="0.25">
      <c r="A832" s="78"/>
    </row>
    <row r="833" spans="1:1" ht="14.25" customHeight="1" x14ac:dyDescent="0.25">
      <c r="A833" s="78"/>
    </row>
    <row r="834" spans="1:1" ht="14.25" customHeight="1" x14ac:dyDescent="0.25">
      <c r="A834" s="78"/>
    </row>
    <row r="835" spans="1:1" ht="14.25" customHeight="1" x14ac:dyDescent="0.25">
      <c r="A835" s="78"/>
    </row>
    <row r="836" spans="1:1" ht="14.25" customHeight="1" x14ac:dyDescent="0.25">
      <c r="A836" s="78"/>
    </row>
    <row r="837" spans="1:1" ht="14.25" customHeight="1" x14ac:dyDescent="0.25">
      <c r="A837" s="78"/>
    </row>
    <row r="838" spans="1:1" ht="14.25" customHeight="1" x14ac:dyDescent="0.25">
      <c r="A838" s="78"/>
    </row>
    <row r="839" spans="1:1" ht="14.25" customHeight="1" x14ac:dyDescent="0.25">
      <c r="A839" s="78"/>
    </row>
    <row r="840" spans="1:1" ht="14.25" customHeight="1" x14ac:dyDescent="0.25">
      <c r="A840" s="78"/>
    </row>
    <row r="841" spans="1:1" ht="14.25" customHeight="1" x14ac:dyDescent="0.25">
      <c r="A841" s="78"/>
    </row>
    <row r="842" spans="1:1" ht="14.25" customHeight="1" x14ac:dyDescent="0.25">
      <c r="A842" s="78"/>
    </row>
    <row r="843" spans="1:1" ht="14.25" customHeight="1" x14ac:dyDescent="0.25">
      <c r="A843" s="78"/>
    </row>
    <row r="844" spans="1:1" ht="14.25" customHeight="1" x14ac:dyDescent="0.25">
      <c r="A844" s="78"/>
    </row>
    <row r="845" spans="1:1" ht="14.25" customHeight="1" x14ac:dyDescent="0.25">
      <c r="A845" s="78"/>
    </row>
    <row r="846" spans="1:1" ht="14.25" customHeight="1" x14ac:dyDescent="0.25">
      <c r="A846" s="78"/>
    </row>
    <row r="847" spans="1:1" ht="14.25" customHeight="1" x14ac:dyDescent="0.25">
      <c r="A847" s="78"/>
    </row>
    <row r="848" spans="1:1" ht="14.25" customHeight="1" x14ac:dyDescent="0.25">
      <c r="A848" s="78"/>
    </row>
    <row r="849" spans="1:1" ht="14.25" customHeight="1" x14ac:dyDescent="0.25">
      <c r="A849" s="78"/>
    </row>
    <row r="850" spans="1:1" ht="14.25" customHeight="1" x14ac:dyDescent="0.25">
      <c r="A850" s="78"/>
    </row>
    <row r="851" spans="1:1" ht="14.25" customHeight="1" x14ac:dyDescent="0.25">
      <c r="A851" s="78"/>
    </row>
    <row r="852" spans="1:1" ht="14.25" customHeight="1" x14ac:dyDescent="0.25">
      <c r="A852" s="78"/>
    </row>
    <row r="853" spans="1:1" ht="14.25" customHeight="1" x14ac:dyDescent="0.25">
      <c r="A853" s="78"/>
    </row>
    <row r="854" spans="1:1" ht="14.25" customHeight="1" x14ac:dyDescent="0.25">
      <c r="A854" s="78"/>
    </row>
    <row r="855" spans="1:1" ht="14.25" customHeight="1" x14ac:dyDescent="0.25">
      <c r="A855" s="78"/>
    </row>
    <row r="856" spans="1:1" ht="14.25" customHeight="1" x14ac:dyDescent="0.25">
      <c r="A856" s="78"/>
    </row>
    <row r="857" spans="1:1" ht="14.25" customHeight="1" x14ac:dyDescent="0.25">
      <c r="A857" s="78"/>
    </row>
    <row r="858" spans="1:1" ht="14.25" customHeight="1" x14ac:dyDescent="0.25">
      <c r="A858" s="78"/>
    </row>
    <row r="859" spans="1:1" ht="14.25" customHeight="1" x14ac:dyDescent="0.25">
      <c r="A859" s="78"/>
    </row>
    <row r="860" spans="1:1" ht="14.25" customHeight="1" x14ac:dyDescent="0.25">
      <c r="A860" s="78"/>
    </row>
    <row r="861" spans="1:1" ht="14.25" customHeight="1" x14ac:dyDescent="0.25">
      <c r="A861" s="78"/>
    </row>
    <row r="862" spans="1:1" ht="14.25" customHeight="1" x14ac:dyDescent="0.25">
      <c r="A862" s="78"/>
    </row>
    <row r="863" spans="1:1" ht="14.25" customHeight="1" x14ac:dyDescent="0.25">
      <c r="A863" s="78"/>
    </row>
    <row r="864" spans="1:1" ht="14.25" customHeight="1" x14ac:dyDescent="0.25">
      <c r="A864" s="78"/>
    </row>
    <row r="865" spans="1:1" ht="14.25" customHeight="1" x14ac:dyDescent="0.25">
      <c r="A865" s="78"/>
    </row>
    <row r="866" spans="1:1" ht="14.25" customHeight="1" x14ac:dyDescent="0.25">
      <c r="A866" s="78"/>
    </row>
    <row r="867" spans="1:1" ht="14.25" customHeight="1" x14ac:dyDescent="0.25">
      <c r="A867" s="78"/>
    </row>
    <row r="868" spans="1:1" ht="14.25" customHeight="1" x14ac:dyDescent="0.25">
      <c r="A868" s="78"/>
    </row>
    <row r="869" spans="1:1" ht="14.25" customHeight="1" x14ac:dyDescent="0.25">
      <c r="A869" s="78"/>
    </row>
    <row r="870" spans="1:1" ht="14.25" customHeight="1" x14ac:dyDescent="0.25">
      <c r="A870" s="78"/>
    </row>
    <row r="871" spans="1:1" ht="14.25" customHeight="1" x14ac:dyDescent="0.25">
      <c r="A871" s="78"/>
    </row>
    <row r="872" spans="1:1" ht="14.25" customHeight="1" x14ac:dyDescent="0.25">
      <c r="A872" s="78"/>
    </row>
    <row r="873" spans="1:1" ht="14.25" customHeight="1" x14ac:dyDescent="0.25">
      <c r="A873" s="78"/>
    </row>
    <row r="874" spans="1:1" ht="14.25" customHeight="1" x14ac:dyDescent="0.25">
      <c r="A874" s="78"/>
    </row>
    <row r="875" spans="1:1" ht="14.25" customHeight="1" x14ac:dyDescent="0.25">
      <c r="A875" s="78"/>
    </row>
    <row r="876" spans="1:1" ht="14.25" customHeight="1" x14ac:dyDescent="0.25">
      <c r="A876" s="78"/>
    </row>
    <row r="877" spans="1:1" ht="14.25" customHeight="1" x14ac:dyDescent="0.25">
      <c r="A877" s="78"/>
    </row>
    <row r="878" spans="1:1" ht="14.25" customHeight="1" x14ac:dyDescent="0.25">
      <c r="A878" s="78"/>
    </row>
    <row r="879" spans="1:1" ht="14.25" customHeight="1" x14ac:dyDescent="0.25">
      <c r="A879" s="78"/>
    </row>
    <row r="880" spans="1:1" ht="14.25" customHeight="1" x14ac:dyDescent="0.25">
      <c r="A880" s="78"/>
    </row>
    <row r="881" spans="1:1" ht="14.25" customHeight="1" x14ac:dyDescent="0.25">
      <c r="A881" s="78"/>
    </row>
    <row r="882" spans="1:1" ht="14.25" customHeight="1" x14ac:dyDescent="0.25">
      <c r="A882" s="78"/>
    </row>
    <row r="883" spans="1:1" ht="14.25" customHeight="1" x14ac:dyDescent="0.25">
      <c r="A883" s="78"/>
    </row>
    <row r="884" spans="1:1" ht="14.25" customHeight="1" x14ac:dyDescent="0.25">
      <c r="A884" s="78"/>
    </row>
    <row r="885" spans="1:1" ht="14.25" customHeight="1" x14ac:dyDescent="0.25">
      <c r="A885" s="78"/>
    </row>
    <row r="886" spans="1:1" ht="14.25" customHeight="1" x14ac:dyDescent="0.25">
      <c r="A886" s="78"/>
    </row>
    <row r="887" spans="1:1" ht="14.25" customHeight="1" x14ac:dyDescent="0.25">
      <c r="A887" s="78"/>
    </row>
    <row r="888" spans="1:1" ht="14.25" customHeight="1" x14ac:dyDescent="0.25">
      <c r="A888" s="78"/>
    </row>
    <row r="889" spans="1:1" ht="14.25" customHeight="1" x14ac:dyDescent="0.25">
      <c r="A889" s="78"/>
    </row>
    <row r="890" spans="1:1" ht="14.25" customHeight="1" x14ac:dyDescent="0.25">
      <c r="A890" s="78"/>
    </row>
    <row r="891" spans="1:1" ht="14.25" customHeight="1" x14ac:dyDescent="0.25">
      <c r="A891" s="78"/>
    </row>
    <row r="892" spans="1:1" ht="14.25" customHeight="1" x14ac:dyDescent="0.25">
      <c r="A892" s="78"/>
    </row>
    <row r="893" spans="1:1" ht="14.25" customHeight="1" x14ac:dyDescent="0.25">
      <c r="A893" s="78"/>
    </row>
    <row r="894" spans="1:1" ht="14.25" customHeight="1" x14ac:dyDescent="0.25">
      <c r="A894" s="78"/>
    </row>
    <row r="895" spans="1:1" ht="14.25" customHeight="1" x14ac:dyDescent="0.25">
      <c r="A895" s="78"/>
    </row>
    <row r="896" spans="1:1" ht="14.25" customHeight="1" x14ac:dyDescent="0.25">
      <c r="A896" s="78"/>
    </row>
    <row r="897" spans="1:1" ht="14.25" customHeight="1" x14ac:dyDescent="0.25">
      <c r="A897" s="78"/>
    </row>
    <row r="898" spans="1:1" ht="14.25" customHeight="1" x14ac:dyDescent="0.25">
      <c r="A898" s="78"/>
    </row>
    <row r="899" spans="1:1" ht="14.25" customHeight="1" x14ac:dyDescent="0.25">
      <c r="A899" s="78"/>
    </row>
    <row r="900" spans="1:1" ht="14.25" customHeight="1" x14ac:dyDescent="0.25">
      <c r="A900" s="78"/>
    </row>
    <row r="901" spans="1:1" ht="14.25" customHeight="1" x14ac:dyDescent="0.25">
      <c r="A901" s="78"/>
    </row>
    <row r="902" spans="1:1" ht="14.25" customHeight="1" x14ac:dyDescent="0.25">
      <c r="A902" s="78"/>
    </row>
    <row r="903" spans="1:1" ht="14.25" customHeight="1" x14ac:dyDescent="0.25">
      <c r="A903" s="78"/>
    </row>
    <row r="904" spans="1:1" ht="14.25" customHeight="1" x14ac:dyDescent="0.25">
      <c r="A904" s="78"/>
    </row>
    <row r="905" spans="1:1" ht="14.25" customHeight="1" x14ac:dyDescent="0.25">
      <c r="A905" s="78"/>
    </row>
    <row r="906" spans="1:1" ht="14.25" customHeight="1" x14ac:dyDescent="0.25">
      <c r="A906" s="78"/>
    </row>
    <row r="907" spans="1:1" ht="14.25" customHeight="1" x14ac:dyDescent="0.25">
      <c r="A907" s="78"/>
    </row>
    <row r="908" spans="1:1" ht="14.25" customHeight="1" x14ac:dyDescent="0.25">
      <c r="A908" s="78"/>
    </row>
    <row r="909" spans="1:1" ht="14.25" customHeight="1" x14ac:dyDescent="0.25">
      <c r="A909" s="78"/>
    </row>
    <row r="910" spans="1:1" ht="14.25" customHeight="1" x14ac:dyDescent="0.25">
      <c r="A910" s="78"/>
    </row>
    <row r="911" spans="1:1" ht="14.25" customHeight="1" x14ac:dyDescent="0.25">
      <c r="A911" s="78"/>
    </row>
    <row r="912" spans="1:1" ht="14.25" customHeight="1" x14ac:dyDescent="0.25">
      <c r="A912" s="78"/>
    </row>
    <row r="913" spans="1:1" ht="14.25" customHeight="1" x14ac:dyDescent="0.25">
      <c r="A913" s="78"/>
    </row>
    <row r="914" spans="1:1" ht="14.25" customHeight="1" x14ac:dyDescent="0.25">
      <c r="A914" s="78"/>
    </row>
    <row r="915" spans="1:1" ht="14.25" customHeight="1" x14ac:dyDescent="0.25">
      <c r="A915" s="78"/>
    </row>
    <row r="916" spans="1:1" ht="14.25" customHeight="1" x14ac:dyDescent="0.25">
      <c r="A916" s="78"/>
    </row>
    <row r="917" spans="1:1" ht="14.25" customHeight="1" x14ac:dyDescent="0.25">
      <c r="A917" s="78"/>
    </row>
    <row r="918" spans="1:1" ht="14.25" customHeight="1" x14ac:dyDescent="0.25">
      <c r="A918" s="78"/>
    </row>
    <row r="919" spans="1:1" ht="14.25" customHeight="1" x14ac:dyDescent="0.25">
      <c r="A919" s="78"/>
    </row>
    <row r="920" spans="1:1" ht="14.25" customHeight="1" x14ac:dyDescent="0.25">
      <c r="A920" s="78"/>
    </row>
    <row r="921" spans="1:1" ht="14.25" customHeight="1" x14ac:dyDescent="0.25">
      <c r="A921" s="78"/>
    </row>
    <row r="922" spans="1:1" ht="14.25" customHeight="1" x14ac:dyDescent="0.25">
      <c r="A922" s="78"/>
    </row>
    <row r="923" spans="1:1" ht="14.25" customHeight="1" x14ac:dyDescent="0.25">
      <c r="A923" s="78"/>
    </row>
    <row r="924" spans="1:1" ht="14.25" customHeight="1" x14ac:dyDescent="0.25">
      <c r="A924" s="78"/>
    </row>
    <row r="925" spans="1:1" ht="14.25" customHeight="1" x14ac:dyDescent="0.25">
      <c r="A925" s="78"/>
    </row>
    <row r="926" spans="1:1" ht="14.25" customHeight="1" x14ac:dyDescent="0.25">
      <c r="A926" s="78"/>
    </row>
    <row r="927" spans="1:1" ht="14.25" customHeight="1" x14ac:dyDescent="0.25">
      <c r="A927" s="78"/>
    </row>
    <row r="928" spans="1:1" ht="14.25" customHeight="1" x14ac:dyDescent="0.25">
      <c r="A928" s="78"/>
    </row>
    <row r="929" spans="1:1" ht="14.25" customHeight="1" x14ac:dyDescent="0.25">
      <c r="A929" s="78"/>
    </row>
    <row r="930" spans="1:1" ht="14.25" customHeight="1" x14ac:dyDescent="0.25">
      <c r="A930" s="78"/>
    </row>
    <row r="931" spans="1:1" ht="14.25" customHeight="1" x14ac:dyDescent="0.25">
      <c r="A931" s="78"/>
    </row>
    <row r="932" spans="1:1" ht="14.25" customHeight="1" x14ac:dyDescent="0.25">
      <c r="A932" s="78"/>
    </row>
    <row r="933" spans="1:1" ht="14.25" customHeight="1" x14ac:dyDescent="0.25">
      <c r="A933" s="78"/>
    </row>
    <row r="934" spans="1:1" ht="14.25" customHeight="1" x14ac:dyDescent="0.25">
      <c r="A934" s="78"/>
    </row>
    <row r="935" spans="1:1" ht="14.25" customHeight="1" x14ac:dyDescent="0.25">
      <c r="A935" s="78"/>
    </row>
    <row r="936" spans="1:1" ht="14.25" customHeight="1" x14ac:dyDescent="0.25">
      <c r="A936" s="78"/>
    </row>
    <row r="937" spans="1:1" ht="14.25" customHeight="1" x14ac:dyDescent="0.25">
      <c r="A937" s="78"/>
    </row>
    <row r="938" spans="1:1" ht="14.25" customHeight="1" x14ac:dyDescent="0.25">
      <c r="A938" s="78"/>
    </row>
    <row r="939" spans="1:1" ht="14.25" customHeight="1" x14ac:dyDescent="0.25">
      <c r="A939" s="78"/>
    </row>
    <row r="940" spans="1:1" ht="14.25" customHeight="1" x14ac:dyDescent="0.25">
      <c r="A940" s="78"/>
    </row>
    <row r="941" spans="1:1" ht="14.25" customHeight="1" x14ac:dyDescent="0.25">
      <c r="A941" s="78"/>
    </row>
    <row r="942" spans="1:1" ht="14.25" customHeight="1" x14ac:dyDescent="0.25">
      <c r="A942" s="78"/>
    </row>
    <row r="943" spans="1:1" ht="14.25" customHeight="1" x14ac:dyDescent="0.25">
      <c r="A943" s="78"/>
    </row>
    <row r="944" spans="1:1" ht="14.25" customHeight="1" x14ac:dyDescent="0.25">
      <c r="A944" s="78"/>
    </row>
    <row r="945" spans="1:1" ht="14.25" customHeight="1" x14ac:dyDescent="0.25">
      <c r="A945" s="78"/>
    </row>
    <row r="946" spans="1:1" ht="14.25" customHeight="1" x14ac:dyDescent="0.25">
      <c r="A946" s="78"/>
    </row>
    <row r="947" spans="1:1" ht="14.25" customHeight="1" x14ac:dyDescent="0.25">
      <c r="A947" s="78"/>
    </row>
    <row r="948" spans="1:1" ht="14.25" customHeight="1" x14ac:dyDescent="0.25">
      <c r="A948" s="78"/>
    </row>
    <row r="949" spans="1:1" ht="14.25" customHeight="1" x14ac:dyDescent="0.25">
      <c r="A949" s="78"/>
    </row>
    <row r="950" spans="1:1" ht="14.25" customHeight="1" x14ac:dyDescent="0.25">
      <c r="A950" s="78"/>
    </row>
    <row r="951" spans="1:1" ht="14.25" customHeight="1" x14ac:dyDescent="0.25">
      <c r="A951" s="78"/>
    </row>
    <row r="952" spans="1:1" ht="14.25" customHeight="1" x14ac:dyDescent="0.25">
      <c r="A952" s="78"/>
    </row>
    <row r="953" spans="1:1" ht="14.25" customHeight="1" x14ac:dyDescent="0.25">
      <c r="A953" s="78"/>
    </row>
    <row r="954" spans="1:1" ht="14.25" customHeight="1" x14ac:dyDescent="0.25">
      <c r="A954" s="78"/>
    </row>
    <row r="955" spans="1:1" ht="14.25" customHeight="1" x14ac:dyDescent="0.25">
      <c r="A955" s="78"/>
    </row>
    <row r="956" spans="1:1" ht="14.25" customHeight="1" x14ac:dyDescent="0.25">
      <c r="A956" s="78"/>
    </row>
    <row r="957" spans="1:1" ht="14.25" customHeight="1" x14ac:dyDescent="0.25">
      <c r="A957" s="78"/>
    </row>
    <row r="958" spans="1:1" ht="14.25" customHeight="1" x14ac:dyDescent="0.25">
      <c r="A958" s="78"/>
    </row>
    <row r="959" spans="1:1" ht="14.25" customHeight="1" x14ac:dyDescent="0.25">
      <c r="A959" s="78"/>
    </row>
    <row r="960" spans="1:1" ht="14.25" customHeight="1" x14ac:dyDescent="0.25">
      <c r="A960" s="78"/>
    </row>
    <row r="961" spans="1:1" ht="14.25" customHeight="1" x14ac:dyDescent="0.25">
      <c r="A961" s="78"/>
    </row>
    <row r="962" spans="1:1" ht="14.25" customHeight="1" x14ac:dyDescent="0.25">
      <c r="A962" s="78"/>
    </row>
    <row r="963" spans="1:1" ht="14.25" customHeight="1" x14ac:dyDescent="0.25">
      <c r="A963" s="78"/>
    </row>
    <row r="964" spans="1:1" ht="14.25" customHeight="1" x14ac:dyDescent="0.25">
      <c r="A964" s="78"/>
    </row>
    <row r="965" spans="1:1" ht="14.25" customHeight="1" x14ac:dyDescent="0.25">
      <c r="A965" s="78"/>
    </row>
    <row r="966" spans="1:1" ht="14.25" customHeight="1" x14ac:dyDescent="0.25">
      <c r="A966" s="78"/>
    </row>
    <row r="967" spans="1:1" ht="14.25" customHeight="1" x14ac:dyDescent="0.25">
      <c r="A967" s="78"/>
    </row>
    <row r="968" spans="1:1" ht="14.25" customHeight="1" x14ac:dyDescent="0.25">
      <c r="A968" s="78"/>
    </row>
    <row r="969" spans="1:1" ht="14.25" customHeight="1" x14ac:dyDescent="0.25">
      <c r="A969" s="78"/>
    </row>
    <row r="970" spans="1:1" ht="14.25" customHeight="1" x14ac:dyDescent="0.25">
      <c r="A970" s="78"/>
    </row>
    <row r="971" spans="1:1" ht="14.25" customHeight="1" x14ac:dyDescent="0.25">
      <c r="A971" s="78"/>
    </row>
    <row r="972" spans="1:1" ht="14.25" customHeight="1" x14ac:dyDescent="0.25">
      <c r="A972" s="78"/>
    </row>
    <row r="973" spans="1:1" ht="14.25" customHeight="1" x14ac:dyDescent="0.25">
      <c r="A973" s="78"/>
    </row>
    <row r="974" spans="1:1" ht="14.25" customHeight="1" x14ac:dyDescent="0.25">
      <c r="A974" s="78"/>
    </row>
    <row r="975" spans="1:1" ht="14.25" customHeight="1" x14ac:dyDescent="0.25">
      <c r="A975" s="78"/>
    </row>
    <row r="976" spans="1:1" ht="14.25" customHeight="1" x14ac:dyDescent="0.25">
      <c r="A976" s="78"/>
    </row>
    <row r="977" spans="1:1" ht="14.25" customHeight="1" x14ac:dyDescent="0.25">
      <c r="A977" s="78"/>
    </row>
    <row r="978" spans="1:1" ht="14.25" customHeight="1" x14ac:dyDescent="0.25">
      <c r="A978" s="78"/>
    </row>
    <row r="979" spans="1:1" ht="14.25" customHeight="1" x14ac:dyDescent="0.25">
      <c r="A979" s="78"/>
    </row>
    <row r="980" spans="1:1" ht="14.25" customHeight="1" x14ac:dyDescent="0.25">
      <c r="A980" s="78"/>
    </row>
    <row r="981" spans="1:1" ht="14.25" customHeight="1" x14ac:dyDescent="0.25">
      <c r="A981" s="78"/>
    </row>
    <row r="982" spans="1:1" ht="14.25" customHeight="1" x14ac:dyDescent="0.25">
      <c r="A982" s="78"/>
    </row>
    <row r="983" spans="1:1" ht="14.25" customHeight="1" x14ac:dyDescent="0.25">
      <c r="A983" s="78"/>
    </row>
    <row r="984" spans="1:1" ht="14.25" customHeight="1" x14ac:dyDescent="0.25">
      <c r="A984" s="78"/>
    </row>
    <row r="985" spans="1:1" ht="14.25" customHeight="1" x14ac:dyDescent="0.25">
      <c r="A985" s="78"/>
    </row>
    <row r="986" spans="1:1" ht="14.25" customHeight="1" x14ac:dyDescent="0.25">
      <c r="A986" s="78"/>
    </row>
    <row r="987" spans="1:1" ht="14.25" customHeight="1" x14ac:dyDescent="0.25">
      <c r="A987" s="78"/>
    </row>
    <row r="988" spans="1:1" ht="14.25" customHeight="1" x14ac:dyDescent="0.25">
      <c r="A988" s="78"/>
    </row>
    <row r="989" spans="1:1" ht="14.25" customHeight="1" x14ac:dyDescent="0.25">
      <c r="A989" s="78"/>
    </row>
    <row r="990" spans="1:1" ht="14.25" customHeight="1" x14ac:dyDescent="0.25">
      <c r="A990" s="78"/>
    </row>
    <row r="991" spans="1:1" ht="14.25" customHeight="1" x14ac:dyDescent="0.25">
      <c r="A991" s="78"/>
    </row>
    <row r="992" spans="1:1" ht="14.25" customHeight="1" x14ac:dyDescent="0.25">
      <c r="A992" s="78"/>
    </row>
    <row r="993" spans="1:1" ht="14.25" customHeight="1" x14ac:dyDescent="0.25">
      <c r="A993" s="78"/>
    </row>
    <row r="994" spans="1:1" ht="14.25" customHeight="1" x14ac:dyDescent="0.25">
      <c r="A994" s="78"/>
    </row>
    <row r="995" spans="1:1" ht="14.25" customHeight="1" x14ac:dyDescent="0.25">
      <c r="A995" s="78"/>
    </row>
    <row r="996" spans="1:1" ht="14.25" customHeight="1" x14ac:dyDescent="0.25">
      <c r="A996" s="78"/>
    </row>
    <row r="997" spans="1:1" ht="14.25" customHeight="1" x14ac:dyDescent="0.25">
      <c r="A997" s="78"/>
    </row>
    <row r="998" spans="1:1" ht="14.25" customHeight="1" x14ac:dyDescent="0.25">
      <c r="A998" s="78"/>
    </row>
    <row r="999" spans="1:1" ht="14.25" customHeight="1" x14ac:dyDescent="0.25">
      <c r="A999" s="78"/>
    </row>
    <row r="1000" spans="1:1" ht="14.25" customHeight="1" x14ac:dyDescent="0.25">
      <c r="A1000" s="78"/>
    </row>
  </sheetData>
  <dataValidations count="2">
    <dataValidation type="custom" allowBlank="1" sqref="B83:B119" xr:uid="{00000000-0002-0000-0500-000000000000}">
      <formula1>OR(NOT(ISERROR(DATEVALUE(B83))),AND(ISNUMBER(B83),LEFT(CELL("format",B83))="D"))</formula1>
    </dataValidation>
    <dataValidation type="list" allowBlank="1" showErrorMessage="1" sqref="K2:K119" xr:uid="{00000000-0002-0000-0500-000001000000}">
      <formula1>"GLOBAL,LOKAL,MOLINAS"</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A55-0DA6-4E77-803D-81899ED2C036}">
  <sheetPr>
    <tabColor rgb="FF00B050"/>
  </sheetPr>
  <dimension ref="A1:G14"/>
  <sheetViews>
    <sheetView zoomScale="86" workbookViewId="0">
      <selection activeCell="F15" sqref="F15"/>
    </sheetView>
  </sheetViews>
  <sheetFormatPr defaultColWidth="8.85546875" defaultRowHeight="15" x14ac:dyDescent="0.25"/>
  <cols>
    <col min="1" max="1" width="6" style="165" customWidth="1"/>
    <col min="2" max="2" width="38" style="165" customWidth="1"/>
    <col min="3" max="3" width="28" style="165" customWidth="1"/>
    <col min="4" max="4" width="38" style="165" customWidth="1"/>
    <col min="5" max="5" width="34" style="165" customWidth="1"/>
    <col min="6" max="6" width="42" style="165" customWidth="1"/>
    <col min="7" max="7" width="65" style="165" customWidth="1"/>
    <col min="8" max="16384" width="8.85546875" style="165"/>
  </cols>
  <sheetData>
    <row r="1" spans="1:7" ht="18" customHeight="1" x14ac:dyDescent="0.25">
      <c r="A1" s="171" t="s">
        <v>1650</v>
      </c>
      <c r="B1" s="171"/>
      <c r="C1" s="171"/>
      <c r="D1" s="171"/>
      <c r="E1" s="171"/>
      <c r="F1" s="171"/>
      <c r="G1" s="171"/>
    </row>
    <row r="2" spans="1:7" x14ac:dyDescent="0.25">
      <c r="A2" s="171"/>
      <c r="B2" s="171"/>
      <c r="C2" s="171"/>
      <c r="D2" s="171"/>
      <c r="E2" s="171"/>
      <c r="F2" s="171"/>
      <c r="G2" s="171"/>
    </row>
    <row r="3" spans="1:7" x14ac:dyDescent="0.25">
      <c r="A3" s="171"/>
      <c r="B3" s="171"/>
      <c r="C3" s="171"/>
      <c r="D3" s="171"/>
      <c r="E3" s="171"/>
      <c r="F3" s="171"/>
      <c r="G3" s="171"/>
    </row>
    <row r="4" spans="1:7" x14ac:dyDescent="0.25">
      <c r="A4" s="166" t="s">
        <v>1651</v>
      </c>
      <c r="B4" s="166" t="s">
        <v>1652</v>
      </c>
      <c r="C4" s="166" t="s">
        <v>1653</v>
      </c>
      <c r="D4" s="166" t="s">
        <v>1654</v>
      </c>
      <c r="E4" s="166" t="s">
        <v>1655</v>
      </c>
      <c r="F4" s="166" t="s">
        <v>1656</v>
      </c>
      <c r="G4" s="166" t="s">
        <v>1657</v>
      </c>
    </row>
    <row r="5" spans="1:7" x14ac:dyDescent="0.25">
      <c r="A5" s="167">
        <v>1</v>
      </c>
      <c r="B5" s="167" t="s">
        <v>1658</v>
      </c>
      <c r="C5" s="167" t="s">
        <v>1659</v>
      </c>
      <c r="D5" s="167" t="s">
        <v>1660</v>
      </c>
      <c r="E5" s="167" t="s">
        <v>1661</v>
      </c>
      <c r="F5" s="170" t="s">
        <v>1662</v>
      </c>
      <c r="G5" s="167" t="s">
        <v>1663</v>
      </c>
    </row>
    <row r="6" spans="1:7" ht="30" x14ac:dyDescent="0.25">
      <c r="A6" s="167">
        <v>2</v>
      </c>
      <c r="B6" s="167" t="s">
        <v>1664</v>
      </c>
      <c r="C6" s="167" t="s">
        <v>1665</v>
      </c>
      <c r="D6" s="167" t="s">
        <v>1666</v>
      </c>
      <c r="E6" s="168" t="s">
        <v>1713</v>
      </c>
      <c r="F6" s="170" t="s">
        <v>1714</v>
      </c>
      <c r="G6" s="167" t="s">
        <v>1667</v>
      </c>
    </row>
    <row r="7" spans="1:7" ht="30" x14ac:dyDescent="0.25">
      <c r="A7" s="167">
        <v>3</v>
      </c>
      <c r="B7" s="167" t="s">
        <v>1668</v>
      </c>
      <c r="C7" s="167" t="s">
        <v>1669</v>
      </c>
      <c r="D7" s="167" t="s">
        <v>1670</v>
      </c>
      <c r="E7" s="167" t="s">
        <v>1671</v>
      </c>
      <c r="F7" s="170" t="s">
        <v>1715</v>
      </c>
      <c r="G7" s="167" t="s">
        <v>1672</v>
      </c>
    </row>
    <row r="8" spans="1:7" ht="30" x14ac:dyDescent="0.25">
      <c r="A8" s="167">
        <v>4</v>
      </c>
      <c r="B8" s="167" t="s">
        <v>1673</v>
      </c>
      <c r="C8" s="167" t="s">
        <v>1674</v>
      </c>
      <c r="D8" s="167" t="s">
        <v>1675</v>
      </c>
      <c r="E8" s="167" t="s">
        <v>1676</v>
      </c>
      <c r="F8" s="170" t="s">
        <v>1677</v>
      </c>
      <c r="G8" s="167" t="s">
        <v>1678</v>
      </c>
    </row>
    <row r="9" spans="1:7" ht="30" x14ac:dyDescent="0.25">
      <c r="A9" s="167">
        <v>5</v>
      </c>
      <c r="B9" s="167" t="s">
        <v>1679</v>
      </c>
      <c r="C9" s="167" t="s">
        <v>1680</v>
      </c>
      <c r="D9" s="167" t="s">
        <v>1681</v>
      </c>
      <c r="E9" s="167" t="s">
        <v>1682</v>
      </c>
      <c r="F9" s="170" t="s">
        <v>1683</v>
      </c>
      <c r="G9" s="167" t="s">
        <v>1684</v>
      </c>
    </row>
    <row r="10" spans="1:7" ht="30" x14ac:dyDescent="0.25">
      <c r="A10" s="167">
        <v>6</v>
      </c>
      <c r="B10" s="167" t="s">
        <v>1685</v>
      </c>
      <c r="C10" s="167" t="s">
        <v>1686</v>
      </c>
      <c r="D10" s="167" t="s">
        <v>1687</v>
      </c>
      <c r="E10" s="167" t="s">
        <v>1688</v>
      </c>
      <c r="F10" s="170" t="s">
        <v>1689</v>
      </c>
      <c r="G10" s="167" t="s">
        <v>1690</v>
      </c>
    </row>
    <row r="11" spans="1:7" ht="30" x14ac:dyDescent="0.25">
      <c r="A11" s="167">
        <v>7</v>
      </c>
      <c r="B11" s="167" t="s">
        <v>1691</v>
      </c>
      <c r="C11" s="167" t="s">
        <v>1692</v>
      </c>
      <c r="D11" s="167" t="s">
        <v>1693</v>
      </c>
      <c r="E11" s="169" t="s">
        <v>1716</v>
      </c>
      <c r="F11" s="170" t="s">
        <v>1694</v>
      </c>
      <c r="G11" s="167" t="s">
        <v>1695</v>
      </c>
    </row>
    <row r="12" spans="1:7" ht="30" x14ac:dyDescent="0.25">
      <c r="A12" s="167">
        <v>8</v>
      </c>
      <c r="B12" s="167" t="s">
        <v>1696</v>
      </c>
      <c r="C12" s="167" t="s">
        <v>1697</v>
      </c>
      <c r="D12" s="167" t="s">
        <v>1698</v>
      </c>
      <c r="E12" s="167" t="s">
        <v>1699</v>
      </c>
      <c r="F12" s="170" t="s">
        <v>1700</v>
      </c>
      <c r="G12" s="167" t="s">
        <v>1701</v>
      </c>
    </row>
    <row r="13" spans="1:7" ht="30" x14ac:dyDescent="0.25">
      <c r="A13" s="167">
        <v>9</v>
      </c>
      <c r="B13" s="167" t="s">
        <v>1702</v>
      </c>
      <c r="C13" s="167" t="s">
        <v>1703</v>
      </c>
      <c r="D13" s="167" t="s">
        <v>1704</v>
      </c>
      <c r="E13" s="167" t="s">
        <v>1705</v>
      </c>
      <c r="F13" s="170" t="s">
        <v>1706</v>
      </c>
      <c r="G13" s="167" t="s">
        <v>1707</v>
      </c>
    </row>
    <row r="14" spans="1:7" ht="30" x14ac:dyDescent="0.25">
      <c r="A14" s="167">
        <v>10</v>
      </c>
      <c r="B14" s="167" t="s">
        <v>1708</v>
      </c>
      <c r="C14" s="167" t="s">
        <v>1709</v>
      </c>
      <c r="D14" s="167" t="s">
        <v>1710</v>
      </c>
      <c r="E14" s="167" t="s">
        <v>1711</v>
      </c>
      <c r="F14" s="170" t="s">
        <v>1717</v>
      </c>
      <c r="G14" s="167" t="s">
        <v>1712</v>
      </c>
    </row>
  </sheetData>
  <mergeCells count="1">
    <mergeCell ref="A1:G3"/>
  </mergeCells>
  <hyperlinks>
    <hyperlink ref="F6" r:id="rId1" xr:uid="{D35D18B3-7DFA-412A-9541-0E9943F0E030}"/>
    <hyperlink ref="F5" r:id="rId2" xr:uid="{6A54C6C1-1814-4937-979E-5D59713DD2BA}"/>
    <hyperlink ref="F7" r:id="rId3" xr:uid="{02C097E0-4B25-4D26-83DE-489973CE009C}"/>
    <hyperlink ref="F8" r:id="rId4" xr:uid="{6FD8D434-B142-4333-AAC8-D1AFBE0F1044}"/>
    <hyperlink ref="F9" r:id="rId5" xr:uid="{1457DDD3-5C76-464B-92DC-6BE06965B08D}"/>
    <hyperlink ref="F10" r:id="rId6" xr:uid="{C35BDCC2-DFC4-41DB-9689-4B3A8AABAD1D}"/>
    <hyperlink ref="F11" r:id="rId7" xr:uid="{588E6535-C663-4C36-A735-768DC74C6990}"/>
    <hyperlink ref="F12" r:id="rId8" xr:uid="{8F1AABD9-6F85-4842-8C9B-5996DAABDA7C}"/>
    <hyperlink ref="F13" r:id="rId9" xr:uid="{7FE76746-A38E-426F-AD19-D762D3F26E9C}"/>
    <hyperlink ref="F14" r:id="rId10" xr:uid="{3CDF125C-FF51-4051-AD52-7FD5E571E7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MoLINas Integrated Plan</vt:lpstr>
      <vt:lpstr>KRITERIA PRIORITAS (SCORING)</vt:lpstr>
      <vt:lpstr>DASAR STAKEHOLDER &amp; REGULASI</vt:lpstr>
      <vt:lpstr>USULAN &amp; PERBANDINGAN</vt:lpstr>
      <vt:lpstr>DATABASE BERITA</vt:lpstr>
      <vt:lpstr>PIC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Biztel_FZ</dc:creator>
  <cp:lastModifiedBy>Business Process Management</cp:lastModifiedBy>
  <dcterms:created xsi:type="dcterms:W3CDTF">2026-09-06T16:16:00Z</dcterms:created>
  <dcterms:modified xsi:type="dcterms:W3CDTF">2026-09-24T05:54:47Z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BDF24FFBF1C3DE19BAB5A26A656375AE_43</vt:lpwstr>
  </property>
  <property fmtid="{D5CDD505-2E9C-101B-9397-08002B2CF9AE}" pid="3" name="KSOProductBuildVer">
    <vt:lpwstr>1057-12.1.2.24819</vt:lpwstr>
  </property>
  <property fmtid="{D5CDD505-2E9C-101B-9397-08002B2CF9AE}" pid="4" name="CalculationRule">
    <vt:i4>0</vt:i4>
  </property>
</Properties>
</file>